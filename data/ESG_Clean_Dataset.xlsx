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Data Analytics 101\For GitHub Portfolio\Power BI\ESG Undergraduate Thesis Dashboard\02_Clean_Data\"/>
    </mc:Choice>
  </mc:AlternateContent>
  <xr:revisionPtr revIDLastSave="0" documentId="13_ncr:1_{C774BFC8-E98E-4943-AC1B-AF513377D985}" xr6:coauthVersionLast="47" xr6:coauthVersionMax="47" xr10:uidLastSave="{00000000-0000-0000-0000-000000000000}"/>
  <bookViews>
    <workbookView xWindow="28680" yWindow="-120" windowWidth="29040" windowHeight="15720" tabRatio="819" activeTab="5" xr2:uid="{00000000-000D-0000-FFFF-FFFF00000000}"/>
  </bookViews>
  <sheets>
    <sheet name="FirmYear_Data" sheetId="7" r:id="rId1"/>
    <sheet name="Firm_Dimension" sheetId="6" r:id="rId2"/>
    <sheet name="Industry_Dimension" sheetId="5" r:id="rId3"/>
    <sheet name="Year_Dimension" sheetId="4" r:id="rId4"/>
    <sheet name="Variable_Dictionary" sheetId="3" r:id="rId5"/>
    <sheet name="Regression_Results" sheetId="2" r:id="rId6"/>
  </sheets>
  <definedNames>
    <definedName name="_xlnm._FilterDatabase" localSheetId="0" hidden="1">FirmYear_Data!$A$1:$S$801</definedName>
    <definedName name="_xlnm._FilterDatabase" localSheetId="5" hidden="1">Regression_Results!$A$1:$V$78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01" i="7" l="1"/>
  <c r="O800" i="7"/>
  <c r="O799" i="7"/>
  <c r="O798" i="7"/>
  <c r="O797" i="7"/>
  <c r="O796" i="7"/>
  <c r="O795" i="7"/>
  <c r="O794" i="7"/>
  <c r="O793" i="7"/>
  <c r="O792" i="7"/>
  <c r="O791" i="7"/>
  <c r="O790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5" i="7"/>
  <c r="O734" i="7"/>
  <c r="O733" i="7"/>
  <c r="O732" i="7"/>
  <c r="O731" i="7"/>
  <c r="O730" i="7"/>
  <c r="O729" i="7"/>
  <c r="O728" i="7"/>
  <c r="O727" i="7"/>
  <c r="O726" i="7"/>
  <c r="O725" i="7"/>
  <c r="O724" i="7"/>
  <c r="O723" i="7"/>
  <c r="O722" i="7"/>
  <c r="O721" i="7"/>
  <c r="O720" i="7"/>
  <c r="O719" i="7"/>
  <c r="O718" i="7"/>
  <c r="O717" i="7"/>
  <c r="O716" i="7"/>
  <c r="O715" i="7"/>
  <c r="O714" i="7"/>
  <c r="O713" i="7"/>
  <c r="O712" i="7"/>
  <c r="O711" i="7"/>
  <c r="O710" i="7"/>
  <c r="O709" i="7"/>
  <c r="O708" i="7"/>
  <c r="O707" i="7"/>
  <c r="O706" i="7"/>
  <c r="O705" i="7"/>
  <c r="O704" i="7"/>
  <c r="O703" i="7"/>
  <c r="O702" i="7"/>
  <c r="O701" i="7"/>
  <c r="O700" i="7"/>
  <c r="O699" i="7"/>
  <c r="O698" i="7"/>
  <c r="O697" i="7"/>
  <c r="O696" i="7"/>
  <c r="O695" i="7"/>
  <c r="O694" i="7"/>
  <c r="O693" i="7"/>
  <c r="O692" i="7"/>
  <c r="O691" i="7"/>
  <c r="O690" i="7"/>
  <c r="O689" i="7"/>
  <c r="O688" i="7"/>
  <c r="O687" i="7"/>
  <c r="O686" i="7"/>
  <c r="O685" i="7"/>
  <c r="O684" i="7"/>
  <c r="O683" i="7"/>
  <c r="O682" i="7"/>
  <c r="O681" i="7"/>
  <c r="O680" i="7"/>
  <c r="O679" i="7"/>
  <c r="O678" i="7"/>
  <c r="O677" i="7"/>
  <c r="O676" i="7"/>
  <c r="O675" i="7"/>
  <c r="O674" i="7"/>
  <c r="O673" i="7"/>
  <c r="O672" i="7"/>
  <c r="O671" i="7"/>
  <c r="O670" i="7"/>
  <c r="O669" i="7"/>
  <c r="O668" i="7"/>
  <c r="O667" i="7"/>
  <c r="O666" i="7"/>
  <c r="O665" i="7"/>
  <c r="O664" i="7"/>
  <c r="O663" i="7"/>
  <c r="O662" i="7"/>
  <c r="O661" i="7"/>
  <c r="O660" i="7"/>
  <c r="O659" i="7"/>
  <c r="O658" i="7"/>
  <c r="O657" i="7"/>
  <c r="O656" i="7"/>
  <c r="O655" i="7"/>
  <c r="O654" i="7"/>
  <c r="O653" i="7"/>
  <c r="O652" i="7"/>
  <c r="O651" i="7"/>
  <c r="O650" i="7"/>
  <c r="O649" i="7"/>
  <c r="O648" i="7"/>
  <c r="O647" i="7"/>
  <c r="O646" i="7"/>
  <c r="O645" i="7"/>
  <c r="O644" i="7"/>
  <c r="O643" i="7"/>
  <c r="O642" i="7"/>
  <c r="O641" i="7"/>
  <c r="O640" i="7"/>
  <c r="O639" i="7"/>
  <c r="O638" i="7"/>
  <c r="O637" i="7"/>
  <c r="O636" i="7"/>
  <c r="O635" i="7"/>
  <c r="O634" i="7"/>
  <c r="O633" i="7"/>
  <c r="O632" i="7"/>
  <c r="O631" i="7"/>
  <c r="O630" i="7"/>
  <c r="O629" i="7"/>
  <c r="O628" i="7"/>
  <c r="O627" i="7"/>
  <c r="O626" i="7"/>
  <c r="O625" i="7"/>
  <c r="O624" i="7"/>
  <c r="O623" i="7"/>
  <c r="O622" i="7"/>
  <c r="O621" i="7"/>
  <c r="O620" i="7"/>
  <c r="O619" i="7"/>
  <c r="O618" i="7"/>
  <c r="O617" i="7"/>
  <c r="O616" i="7"/>
  <c r="O615" i="7"/>
  <c r="O614" i="7"/>
  <c r="O613" i="7"/>
  <c r="O612" i="7"/>
  <c r="O611" i="7"/>
  <c r="O610" i="7"/>
  <c r="O609" i="7"/>
  <c r="O608" i="7"/>
  <c r="O607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9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1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5" i="7"/>
  <c r="O534" i="7"/>
  <c r="O533" i="7"/>
  <c r="O532" i="7"/>
  <c r="O531" i="7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</calcChain>
</file>

<file path=xl/sharedStrings.xml><?xml version="1.0" encoding="utf-8"?>
<sst xmlns="http://schemas.openxmlformats.org/spreadsheetml/2006/main" count="4347" uniqueCount="671">
  <si>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</si>
  <si>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</si>
  <si>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</si>
  <si>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</si>
  <si>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</si>
  <si>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</si>
  <si>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</si>
  <si>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</si>
  <si>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</si>
  <si>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</si>
  <si>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</si>
  <si>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</si>
  <si>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</si>
  <si>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</si>
  <si>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</si>
  <si>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</si>
  <si>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</si>
  <si>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</si>
  <si>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</si>
  <si>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</si>
  <si>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</si>
  <si>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</si>
  <si>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</si>
  <si>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</si>
  <si>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</si>
  <si>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</si>
  <si>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</si>
  <si>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</si>
  <si>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</si>
  <si>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</si>
  <si>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</si>
  <si>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</si>
  <si>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</si>
  <si>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</si>
  <si>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</si>
  <si>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</si>
  <si>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</si>
  <si>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</si>
  <si>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</si>
  <si>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</si>
  <si>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</si>
  <si>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</si>
  <si>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</si>
  <si>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</si>
  <si>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</si>
  <si>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</si>
  <si>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</si>
  <si>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</si>
  <si>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</si>
  <si>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</si>
  <si>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</si>
  <si>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FirmID</t>
  </si>
  <si>
    <t>CompanyName</t>
  </si>
  <si>
    <t>99 SPEED MART RETAIL HOLDINGS BERHAD</t>
  </si>
  <si>
    <t>AEON CREDIT SERVICE (M) BHD</t>
  </si>
  <si>
    <t>AFFIN BANK BERHAD</t>
  </si>
  <si>
    <t>ALLIANCE BANK MALAYSIA BERHAD</t>
  </si>
  <si>
    <t>AMMB HOLDINGS BHD</t>
  </si>
  <si>
    <t>AXIATA GROUP BERHAD</t>
  </si>
  <si>
    <t>AXIS REAL ESTATE INVESTMENT TRUST</t>
  </si>
  <si>
    <t>BANK ISLAM MALAYSIA BERHAD</t>
  </si>
  <si>
    <t>BERMAZ AUTO BERHAD</t>
  </si>
  <si>
    <t>BUMI ARMADA BERHAD</t>
  </si>
  <si>
    <t>BURSA MALAYSIA BHD</t>
  </si>
  <si>
    <t>CARLSBERG BREWERY MALAYSIA BHD</t>
  </si>
  <si>
    <t>CELCOMDIGI BERHAD</t>
  </si>
  <si>
    <t>CHIN HIN GROUP BERHAD</t>
  </si>
  <si>
    <t>CIMB GROUP HOLDINGS BERHAD</t>
  </si>
  <si>
    <t>CTOS DIGITAL BERHAD</t>
  </si>
  <si>
    <t>D &amp; O GREEN TECHNOLOGIES BERHAD</t>
  </si>
  <si>
    <t>DAYANG ENTERPRISE HOLDINGS BHD</t>
  </si>
  <si>
    <t>DIALOG GROUP BHD</t>
  </si>
  <si>
    <t>DXN HOLDINGS BHD</t>
  </si>
  <si>
    <t>ECO WORLD DEVELOPMENT GROUP BERHAD</t>
  </si>
  <si>
    <t>FARM FRESH BERHAD</t>
  </si>
  <si>
    <t>FRASER &amp; NEAVE HOLDINGS BHD</t>
  </si>
  <si>
    <t>FRONTKEN CORPORATION BERHAD</t>
  </si>
  <si>
    <t>GAMUDA BHD</t>
  </si>
  <si>
    <t>GAS MALAYSIA BERHAD</t>
  </si>
  <si>
    <t>GENTING BHD</t>
  </si>
  <si>
    <t>GENTING MALAYSIA BERHAD</t>
  </si>
  <si>
    <t>GENTING PLANTATIONS BERHAD</t>
  </si>
  <si>
    <t>GREATECH TECHNOLOGY BERHAD</t>
  </si>
  <si>
    <t>GUAN CHONG BERHAD</t>
  </si>
  <si>
    <t>HARTALEGA HOLDINGS BERHAD</t>
  </si>
  <si>
    <t>HEINEKEN MALAYSIA BERHAD</t>
  </si>
  <si>
    <t>HEXTAR GLOBAL BERHAD</t>
  </si>
  <si>
    <t>HONG LEONG BANK BHD</t>
  </si>
  <si>
    <t>HONG LEONG FINANCIAL GROUP BHD</t>
  </si>
  <si>
    <t>IGB REAL ESTATE INVESTMENT TRUST</t>
  </si>
  <si>
    <t>IHH HEALTHCARE BERHAD</t>
  </si>
  <si>
    <t>IJM CORPORATION BERHAD</t>
  </si>
  <si>
    <t>INARI AMERTRON BERHAD</t>
  </si>
  <si>
    <t>IOI CORPORATION BHD</t>
  </si>
  <si>
    <t>IOI PROPERTIES GROUP BERHAD</t>
  </si>
  <si>
    <t>ITMAX SYSTEM BERHAD</t>
  </si>
  <si>
    <t>KOSSAN RUBBER INDUSTRIES BHD</t>
  </si>
  <si>
    <t>KPJ HEALTHCARE BERHAD</t>
  </si>
  <si>
    <t>KUALA LUMPUR KEPONG BHD</t>
  </si>
  <si>
    <t>MAH SING GROUP BERHAD</t>
  </si>
  <si>
    <t>MALAKOFF CORPORATION BERHAD</t>
  </si>
  <si>
    <t>MALAYAN BANKING BHD</t>
  </si>
  <si>
    <t>MALAYAN CEMENT BERHAD</t>
  </si>
  <si>
    <t>MALAYSIA AIRPORTS HOLDINGS BHD</t>
  </si>
  <si>
    <t>MALAYSIAN PACIFIC INDUSTRIES</t>
  </si>
  <si>
    <t>MALAYSIAN RESOURCES CORPORATION BERHAD</t>
  </si>
  <si>
    <t>MATRIX CONCEPTS HOLDINGS BERHAD</t>
  </si>
  <si>
    <t>MAXIS BERHAD</t>
  </si>
  <si>
    <t>MBSB BERHAD</t>
  </si>
  <si>
    <t>MEGA FIRST CORPORATION BERHAD</t>
  </si>
  <si>
    <t>MISC BHD</t>
  </si>
  <si>
    <t>MR D.I.Y. GROUP (M) BERHAD</t>
  </si>
  <si>
    <t>MY E.G. SERVICES BHD</t>
  </si>
  <si>
    <t>NATIONGATE HOLDINGS BERHAD</t>
  </si>
  <si>
    <t>NESTLE (M) BHD</t>
  </si>
  <si>
    <t>ORIENTAL HOLDINGS BHD</t>
  </si>
  <si>
    <t>OSK HOLDINGS BERHAD</t>
  </si>
  <si>
    <t>PAVILION REAL ESTATE INVESTMENT TRUST</t>
  </si>
  <si>
    <t>PENTAMASTER CORPORATION BERHAD</t>
  </si>
  <si>
    <t>PETRONAS CHEMICALS GROUP BHD</t>
  </si>
  <si>
    <t>PETRONAS DAGANGAN BHD</t>
  </si>
  <si>
    <t>PETRONAS GAS BHD</t>
  </si>
  <si>
    <t>PPB GROUP BHD</t>
  </si>
  <si>
    <t>PRESS METAL ALUMINIUM HOLDINGS BERHAD</t>
  </si>
  <si>
    <t>PUBLIC BANK BHD</t>
  </si>
  <si>
    <t>QL RESOURCES BHD</t>
  </si>
  <si>
    <t>RCE CAPITAL BERHAD</t>
  </si>
  <si>
    <t>RHB BANK BERHAD</t>
  </si>
  <si>
    <t>S P SETIA BERHAD</t>
  </si>
  <si>
    <t>SARAWAK OIL PALMS BERHAD</t>
  </si>
  <si>
    <t>SCIENTEX BERHAD</t>
  </si>
  <si>
    <t>SD GUTHRIE BERHAD</t>
  </si>
  <si>
    <t>SIME DARBY BHD</t>
  </si>
  <si>
    <t>SIME DARBY PROPERTY BERHAD</t>
  </si>
  <si>
    <t>SUNWAY BERHAD</t>
  </si>
  <si>
    <t>SUNWAY CONSTRUCTION GROUP BERHAD</t>
  </si>
  <si>
    <t>SYARIKAT TAKAFUL MALAYSIA KELUARGA BERHAD</t>
  </si>
  <si>
    <t>TANCO HOLDINGS BERHAD</t>
  </si>
  <si>
    <t>TELEKOM MALAYSIA BHD</t>
  </si>
  <si>
    <t>TENAGA NASIONAL BHD</t>
  </si>
  <si>
    <t>TIME DOTCOM BERHAD</t>
  </si>
  <si>
    <t>TOP GLOVE CORPORATION BHD</t>
  </si>
  <si>
    <t>UEM SUNRISE BERHAD</t>
  </si>
  <si>
    <t>UNISEM (M) BERHAD</t>
  </si>
  <si>
    <t>UNITED PLANTATIONS BERHAD</t>
  </si>
  <si>
    <t>UWC BERHAD</t>
  </si>
  <si>
    <t>V.S INDUSTRY BHD</t>
  </si>
  <si>
    <t>VITROX CORPORATION BHD</t>
  </si>
  <si>
    <t>WCE HOLDINGS BERHAD</t>
  </si>
  <si>
    <t>WESTPORTS HOLDINGS BERHAD</t>
  </si>
  <si>
    <t>YINSON HOLDINGS BHD</t>
  </si>
  <si>
    <t>YTL CORPORATION BHD</t>
  </si>
  <si>
    <t>YTL POWER INTERNATIONAL BHD</t>
  </si>
  <si>
    <t>Year</t>
  </si>
  <si>
    <t>Retail</t>
  </si>
  <si>
    <t>Financial Services</t>
  </si>
  <si>
    <t>Telecommunications &amp; Media</t>
  </si>
  <si>
    <t>Real Estate Investment Trust</t>
  </si>
  <si>
    <t>Consumer Products &amp; Services</t>
  </si>
  <si>
    <t>Energy</t>
  </si>
  <si>
    <t>Industrial Products &amp; Services</t>
  </si>
  <si>
    <t>Technology</t>
  </si>
  <si>
    <t>Property</t>
  </si>
  <si>
    <t>Construction</t>
  </si>
  <si>
    <t>Utilities</t>
  </si>
  <si>
    <t>Plantation</t>
  </si>
  <si>
    <t>Healthcare</t>
  </si>
  <si>
    <t>Transportation &amp; Logistics</t>
  </si>
  <si>
    <t>IndustryCode</t>
  </si>
  <si>
    <t>ESG</t>
  </si>
  <si>
    <t>Environmental</t>
  </si>
  <si>
    <t>Social</t>
  </si>
  <si>
    <t>Governance</t>
  </si>
  <si>
    <t>GFIN</t>
  </si>
  <si>
    <t>TobinsQ</t>
  </si>
  <si>
    <t>ROA</t>
  </si>
  <si>
    <t>ROE</t>
  </si>
  <si>
    <t>FirmSize</t>
  </si>
  <si>
    <t>FirmLeverage</t>
  </si>
  <si>
    <t>CorporateGovernance</t>
  </si>
  <si>
    <t>GDP</t>
  </si>
  <si>
    <t>InflationRate</t>
  </si>
  <si>
    <t>GE</t>
  </si>
  <si>
    <t>GI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</si>
  <si>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</si>
  <si>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</si>
  <si>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</si>
  <si>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</si>
  <si>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</si>
  <si>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</si>
  <si>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</si>
  <si>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</si>
  <si>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</si>
  <si>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</si>
  <si>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</si>
  <si>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</si>
  <si>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</si>
  <si>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</si>
  <si>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</si>
  <si>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</si>
  <si>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</si>
  <si>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</si>
  <si>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</si>
  <si>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</si>
  <si>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</si>
  <si>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</si>
  <si>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</si>
  <si>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</si>
  <si>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</si>
  <si>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</si>
  <si>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</si>
  <si>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</si>
  <si>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</si>
  <si>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</si>
  <si>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</si>
  <si>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</si>
  <si>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</si>
  <si>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</si>
  <si>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</si>
  <si>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</si>
  <si>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</si>
  <si>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</si>
  <si>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</si>
  <si>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</si>
  <si>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</si>
  <si>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</si>
  <si>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</si>
  <si>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</si>
  <si>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</si>
  <si>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</si>
  <si>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</si>
  <si>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</si>
  <si>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</si>
  <si>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ListingMarket</t>
  </si>
  <si>
    <t>Country</t>
  </si>
  <si>
    <t>Notes</t>
  </si>
  <si>
    <t>Bursa Malaysia</t>
  </si>
  <si>
    <t>Malaysia</t>
  </si>
  <si>
    <t>IndustryGroup</t>
  </si>
  <si>
    <t>SectorCategory</t>
  </si>
  <si>
    <t>Industrial Products</t>
  </si>
  <si>
    <t>Industrial</t>
  </si>
  <si>
    <t>Consumer</t>
  </si>
  <si>
    <t>Financial</t>
  </si>
  <si>
    <t>Agriculture &amp; Commodities</t>
  </si>
  <si>
    <t>Technology &amp; Communications</t>
  </si>
  <si>
    <t>Real Estate</t>
  </si>
  <si>
    <t>Construction &amp; Infrastructure</t>
  </si>
  <si>
    <t>PeriodLabel</t>
  </si>
  <si>
    <t>Decade</t>
  </si>
  <si>
    <t>SubPeriod</t>
  </si>
  <si>
    <t>FY2016</t>
  </si>
  <si>
    <t>2010s</t>
  </si>
  <si>
    <t>Pre-COVID</t>
  </si>
  <si>
    <t>FY2017</t>
  </si>
  <si>
    <t>FY2018</t>
  </si>
  <si>
    <t>FY2019</t>
  </si>
  <si>
    <t>FY2020</t>
  </si>
  <si>
    <t>2020s</t>
  </si>
  <si>
    <t>COVID / Transition</t>
  </si>
  <si>
    <t>FY2021</t>
  </si>
  <si>
    <t>FY2022</t>
  </si>
  <si>
    <t>Post-COVID</t>
  </si>
  <si>
    <t>FY2023</t>
  </si>
  <si>
    <t>VariableName</t>
  </si>
  <si>
    <t>FullName</t>
  </si>
  <si>
    <t>Category</t>
  </si>
  <si>
    <t>Description</t>
  </si>
  <si>
    <t>Unit</t>
  </si>
  <si>
    <t>ExpectedDataType</t>
  </si>
  <si>
    <t>Source</t>
  </si>
  <si>
    <t>Firm Identifier</t>
  </si>
  <si>
    <t>Identifier</t>
  </si>
  <si>
    <t>Unique code assigned to each firm</t>
  </si>
  <si>
    <t>Text</t>
  </si>
  <si>
    <t>Created</t>
  </si>
  <si>
    <t>Used as firm key</t>
  </si>
  <si>
    <t>Financial Year</t>
  </si>
  <si>
    <t>Time</t>
  </si>
  <si>
    <t>Observation year</t>
  </si>
  <si>
    <t>Whole Number</t>
  </si>
  <si>
    <t>Dataset</t>
  </si>
  <si>
    <t>2016–2023</t>
  </si>
  <si>
    <t>ESG Score</t>
  </si>
  <si>
    <t>Overall ESG score</t>
  </si>
  <si>
    <t>Score</t>
  </si>
  <si>
    <t>ESG dataset</t>
  </si>
  <si>
    <t>Environmental Score</t>
  </si>
  <si>
    <t>Environmental pillar score</t>
  </si>
  <si>
    <t>Social Score</t>
  </si>
  <si>
    <t>Social pillar score</t>
  </si>
  <si>
    <t>Governance Score</t>
  </si>
  <si>
    <t>Governance pillar score</t>
  </si>
  <si>
    <t>GreenFinance</t>
  </si>
  <si>
    <t>Green Finance</t>
  </si>
  <si>
    <t>Score / Indicator</t>
  </si>
  <si>
    <t>Thesis dataset</t>
  </si>
  <si>
    <t>Tobin’s Q</t>
  </si>
  <si>
    <t>Firm Performance</t>
  </si>
  <si>
    <t>Market-based firm performance measure</t>
  </si>
  <si>
    <t>Ratio</t>
  </si>
  <si>
    <t>Financial dataset</t>
  </si>
  <si>
    <t>Return on Assets</t>
  </si>
  <si>
    <t>Percentage / Ratio</t>
  </si>
  <si>
    <t>Return on Equity</t>
  </si>
  <si>
    <t>Inflation Rate</t>
  </si>
  <si>
    <t>Macroeconomic Control</t>
  </si>
  <si>
    <t>Annual inflation rate</t>
  </si>
  <si>
    <t>Percentage</t>
  </si>
  <si>
    <t>Firm Size</t>
  </si>
  <si>
    <t>Firm Leverage</t>
  </si>
  <si>
    <t>Corporate Governance</t>
  </si>
  <si>
    <t>Score / Index</t>
  </si>
  <si>
    <t>Company Name</t>
  </si>
  <si>
    <t>Official company name</t>
  </si>
  <si>
    <t>Firm dataset</t>
  </si>
  <si>
    <t>Used for firm-level filtering</t>
  </si>
  <si>
    <t>Industry Code</t>
  </si>
  <si>
    <t>Industry</t>
  </si>
  <si>
    <t>Industry classification of the firm</t>
  </si>
  <si>
    <t>Links to Industry_Dimension</t>
  </si>
  <si>
    <t>Decimal Number</t>
  </si>
  <si>
    <t>Main ESG variable</t>
  </si>
  <si>
    <t>ESG Pillar</t>
  </si>
  <si>
    <t>ESG sub-component</t>
  </si>
  <si>
    <t>Moderator</t>
  </si>
  <si>
    <t>Green finance variable used as the moderating variable in the thesis model</t>
  </si>
  <si>
    <t>Confirm exact calculation</t>
  </si>
  <si>
    <t>GreenInvestment</t>
  </si>
  <si>
    <t>Green Investment</t>
  </si>
  <si>
    <t>Green Finance Component</t>
  </si>
  <si>
    <t>Green investment-related measure used to construct or support the green finance variable</t>
  </si>
  <si>
    <t>Amount / Ratio / Indicator</t>
  </si>
  <si>
    <t>Include only if present in data</t>
  </si>
  <si>
    <t>GreenExpenditure</t>
  </si>
  <si>
    <t>Green Expenditure</t>
  </si>
  <si>
    <t>Green expenditure-related measure used to construct or support the green finance variable</t>
  </si>
  <si>
    <t>Main firm performance outcome</t>
  </si>
  <si>
    <t>Profitability relative to total assets</t>
  </si>
  <si>
    <t>Secondary performance measure</t>
  </si>
  <si>
    <t>Profitability relative to shareholders’ equity</t>
  </si>
  <si>
    <t>Gross Domestic Product Growth</t>
  </si>
  <si>
    <t>GDP growth or macroeconomic indicator used as a control variable</t>
  </si>
  <si>
    <t>Macro dataset</t>
  </si>
  <si>
    <t>Confirm whether GDP growth or GDP level</t>
  </si>
  <si>
    <t>Control variable</t>
  </si>
  <si>
    <t>Firm Control</t>
  </si>
  <si>
    <t>Firm size calculated using the natural logarithm of total assets</t>
  </si>
  <si>
    <t>Log value</t>
  </si>
  <si>
    <t>Calculated from TotalAssets</t>
  </si>
  <si>
    <t>Formula: LN(TotalAssets)</t>
  </si>
  <si>
    <t>Leverage ratio calculated from total liabilities and total assets</t>
  </si>
  <si>
    <t>Calculated from TotalAssets and TotalLiabilities</t>
  </si>
  <si>
    <t>Usually TotalLiabilities / TotalAssets; confirm thesis formula</t>
  </si>
  <si>
    <t>Governance Control</t>
  </si>
  <si>
    <t>Corporate governance-related control variable</t>
  </si>
  <si>
    <t>ModelID</t>
  </si>
  <si>
    <t>ModelName</t>
  </si>
  <si>
    <t>DependentVariable</t>
  </si>
  <si>
    <t>IndependentVariable</t>
  </si>
  <si>
    <t>VariableGroup</t>
  </si>
  <si>
    <t>Coefficient</t>
  </si>
  <si>
    <t>PValue</t>
  </si>
  <si>
    <t>SignificanceLevel</t>
  </si>
  <si>
    <t>Direction</t>
  </si>
  <si>
    <t>Interpretation</t>
  </si>
  <si>
    <t>DashboardDisplay</t>
  </si>
  <si>
    <t>Yes</t>
  </si>
  <si>
    <t>M1_ESG</t>
  </si>
  <si>
    <t>Full Sample 2016-2023</t>
  </si>
  <si>
    <t>Estimation Model 1  ESG</t>
  </si>
  <si>
    <t>ESG Direct Effect</t>
  </si>
  <si>
    <t>ESG / ESG Pillar</t>
  </si>
  <si>
    <t>-0.00(0.764)</t>
  </si>
  <si>
    <t>Not significant</t>
  </si>
  <si>
    <t>Zero / neutral</t>
  </si>
  <si>
    <t>221.08***(0.0000)</t>
  </si>
  <si>
    <t>14.45**(0.0250)</t>
  </si>
  <si>
    <t>Fixed Effects</t>
  </si>
  <si>
    <t>M1a_E</t>
  </si>
  <si>
    <t>Estimation Model 1a E</t>
  </si>
  <si>
    <t>E</t>
  </si>
  <si>
    <t>-0.00(0.843)</t>
  </si>
  <si>
    <t>221.28***(0.0000)</t>
  </si>
  <si>
    <t>16.59***(0.0109)</t>
  </si>
  <si>
    <t>M1b_S</t>
  </si>
  <si>
    <t>Estimation Model 1b  S</t>
  </si>
  <si>
    <t>S</t>
  </si>
  <si>
    <t>-0.00(0.766)</t>
  </si>
  <si>
    <t>217.54***(0.0000)</t>
  </si>
  <si>
    <t>14.81**(0.0218)</t>
  </si>
  <si>
    <t>M1c_G</t>
  </si>
  <si>
    <t>Estimation Model 1c  G</t>
  </si>
  <si>
    <t>G</t>
  </si>
  <si>
    <t>-0.00(0.701)</t>
  </si>
  <si>
    <t>226.87***(0.0000)</t>
  </si>
  <si>
    <t>14.47**(0.0248)</t>
  </si>
  <si>
    <t>M2_GFIN</t>
  </si>
  <si>
    <t>Estimation Model 2  GFIN</t>
  </si>
  <si>
    <t>Green Finance Direct Effect</t>
  </si>
  <si>
    <t>0.25***(0.008)</t>
  </si>
  <si>
    <t>***</t>
  </si>
  <si>
    <t>Significant at 1%</t>
  </si>
  <si>
    <t>Positive</t>
  </si>
  <si>
    <t>877.67***(0.0000)</t>
  </si>
  <si>
    <t>13.59**(0.0346)</t>
  </si>
  <si>
    <t>M2a_GI</t>
  </si>
  <si>
    <t>Estimation Model 2a  GI</t>
  </si>
  <si>
    <t>0.26(0.192)</t>
  </si>
  <si>
    <t>881.45***(0.0000)</t>
  </si>
  <si>
    <t>11.64*(0.0706)</t>
  </si>
  <si>
    <t>M2b_GE</t>
  </si>
  <si>
    <t>Estimation Model 2b  GE</t>
  </si>
  <si>
    <t>0.30**(0.021)</t>
  </si>
  <si>
    <t>**</t>
  </si>
  <si>
    <t>Significant at 5%</t>
  </si>
  <si>
    <t>879.53***(0.0000)</t>
  </si>
  <si>
    <t>13.72**(0.0329)</t>
  </si>
  <si>
    <t>M3_ESGxGFIN</t>
  </si>
  <si>
    <t>Estimation Model 3  ESG × GFIN</t>
  </si>
  <si>
    <t>Moderation Effect</t>
  </si>
  <si>
    <t>ESG × GFIN</t>
  </si>
  <si>
    <t>Interaction / Moderation</t>
  </si>
  <si>
    <t>-0.01(0.143)</t>
  </si>
  <si>
    <t>Negative</t>
  </si>
  <si>
    <t>223.71***(0.0000)</t>
  </si>
  <si>
    <t>13.73*(0.0891)</t>
  </si>
  <si>
    <t>M3a_ExGFIN</t>
  </si>
  <si>
    <t>Estimation Model 3a  E × GFIN</t>
  </si>
  <si>
    <t>E × GFIN</t>
  </si>
  <si>
    <t>-0.00(0.145)</t>
  </si>
  <si>
    <t>225.04***(0.0000)</t>
  </si>
  <si>
    <t>17.12**(0.0289)</t>
  </si>
  <si>
    <t>M3b_SxGFIN</t>
  </si>
  <si>
    <t>Estimation Model 3b  S × GFIN</t>
  </si>
  <si>
    <t>S × GFIN</t>
  </si>
  <si>
    <t>-0.01**(0.052)</t>
  </si>
  <si>
    <t>Significant at 10%</t>
  </si>
  <si>
    <t>226.11***(0.0000)</t>
  </si>
  <si>
    <t>13.28(0.1026)</t>
  </si>
  <si>
    <t>Random Effects</t>
  </si>
  <si>
    <t>M3c_GxGFIN</t>
  </si>
  <si>
    <t>Estimation Model 3c  G × GFIN</t>
  </si>
  <si>
    <t>G × GFIN</t>
  </si>
  <si>
    <t>0.01(0.089)</t>
  </si>
  <si>
    <t>225.60***(0.0000)</t>
  </si>
  <si>
    <t>15.38**(0.0522)</t>
  </si>
  <si>
    <t>Estimation Model 1 ESG</t>
  </si>
  <si>
    <t>-0.12(0.652)</t>
  </si>
  <si>
    <t>64.96***(0.0000)</t>
  </si>
  <si>
    <t>17.86***(0.0066)</t>
  </si>
  <si>
    <t>Estimation Model 1a  E</t>
  </si>
  <si>
    <t>0.00(0.861)</t>
  </si>
  <si>
    <t>52.56***(0.0000)</t>
  </si>
  <si>
    <t>17.83***(0.0067)</t>
  </si>
  <si>
    <t>0.00(0.842)</t>
  </si>
  <si>
    <t>64.56***(0.0000)</t>
  </si>
  <si>
    <t>17.39***(0.0080)</t>
  </si>
  <si>
    <t>-0.01(0.713)</t>
  </si>
  <si>
    <t>65.31***(0.0000)</t>
  </si>
  <si>
    <t>0.44(0.169)</t>
  </si>
  <si>
    <t>424.04***(0.0000)</t>
  </si>
  <si>
    <t>5.39(0.4949)</t>
  </si>
  <si>
    <t>0.72(0.345)</t>
  </si>
  <si>
    <t>423.05***(0.0000)</t>
  </si>
  <si>
    <t>4.95(0.5504)</t>
  </si>
  <si>
    <t>0.77(0.311)</t>
  </si>
  <si>
    <t>425.51***(0.0000)</t>
  </si>
  <si>
    <t>5.59(0.4707)</t>
  </si>
  <si>
    <t>Estimation Model 3 ESG × GFIN</t>
  </si>
  <si>
    <t>0.05(0.130)</t>
  </si>
  <si>
    <t>63.56***(0.0000)</t>
  </si>
  <si>
    <t>18.32**(0.0189)</t>
  </si>
  <si>
    <t>0.01(0.577)</t>
  </si>
  <si>
    <t>61.51***(0.0000)</t>
  </si>
  <si>
    <t>18.13**(0.0203)</t>
  </si>
  <si>
    <t>0.03(0.257)</t>
  </si>
  <si>
    <t>63.21***(0.0000)</t>
  </si>
  <si>
    <t>18.75**(0.0162)</t>
  </si>
  <si>
    <t>0.05***(0.010)</t>
  </si>
  <si>
    <t>64.00***(0.0000)</t>
  </si>
  <si>
    <t>18.31**(0.0190)</t>
  </si>
  <si>
    <t>0.01(0.794)</t>
  </si>
  <si>
    <t>221.30***(0.0000)</t>
  </si>
  <si>
    <t>24.99***(0.003)</t>
  </si>
  <si>
    <t>0.01(0.871)</t>
  </si>
  <si>
    <t>214.54***(0.0000)</t>
  </si>
  <si>
    <t>23.19***(0.0003)</t>
  </si>
  <si>
    <t>Estimation Model 1b S</t>
  </si>
  <si>
    <t>0.03(0.467)</t>
  </si>
  <si>
    <t>220.01***(0.0000)</t>
  </si>
  <si>
    <t>23.35***(0.0007)</t>
  </si>
  <si>
    <t>0.04(0.329)</t>
  </si>
  <si>
    <t>217.52***(0.0000)</t>
  </si>
  <si>
    <t>25.19***(0.0003)</t>
  </si>
  <si>
    <t>-0.97(0.388)</t>
  </si>
  <si>
    <t>1027.15***(0.0000)</t>
  </si>
  <si>
    <t>7.72(0.2595)</t>
  </si>
  <si>
    <t>1.322(0.640)</t>
  </si>
  <si>
    <t>1018.48***(0.0000)</t>
  </si>
  <si>
    <t>8.39(0.2109)</t>
  </si>
  <si>
    <t>0.42(0.848)</t>
  </si>
  <si>
    <t>1.022.14***(0.0000)</t>
  </si>
  <si>
    <t>8.11(0.2303)</t>
  </si>
  <si>
    <t>-0.12(0.833)</t>
  </si>
  <si>
    <t>220.99***(0.0000)</t>
  </si>
  <si>
    <t>26.83***(0.0008)</t>
  </si>
  <si>
    <t>-0.07(0.313)</t>
  </si>
  <si>
    <t>216.78***(0.0000)</t>
  </si>
  <si>
    <t>26.31***(0.0009)</t>
  </si>
  <si>
    <t>-0.04(0.569)</t>
  </si>
  <si>
    <t>216.95***(0.0000)</t>
  </si>
  <si>
    <t>27.62***(0.0006)</t>
  </si>
  <si>
    <t>0.08*(0.060)</t>
  </si>
  <si>
    <t>*</t>
  </si>
  <si>
    <t>216.73***(0.0000)</t>
  </si>
  <si>
    <t>25.22***(0.0014)</t>
  </si>
  <si>
    <t>Business as Usual 2016-2019</t>
  </si>
  <si>
    <t>0.00(0.972)</t>
  </si>
  <si>
    <t>65.08***(0.0000)</t>
  </si>
  <si>
    <t>10.62**(0.0596)</t>
  </si>
  <si>
    <t>-0.00(0.987)</t>
  </si>
  <si>
    <t>50.69***(0.0000)</t>
  </si>
  <si>
    <t>13.62**(0.0342)</t>
  </si>
  <si>
    <t>0.00(0.758)</t>
  </si>
  <si>
    <t>63.58***(0.0000)</t>
  </si>
  <si>
    <t>10.49*(0.0626)</t>
  </si>
  <si>
    <t>Estimation Model 1c G</t>
  </si>
  <si>
    <t>-0.11(0.154)</t>
  </si>
  <si>
    <t>67.53***(0.0000)</t>
  </si>
  <si>
    <t>12.39**(0.0298)</t>
  </si>
  <si>
    <t>-0.06(0.598)</t>
  </si>
  <si>
    <t>332.41***(0.0000)</t>
  </si>
  <si>
    <t>7.62(0.2676)</t>
  </si>
  <si>
    <t>-0.24(0.198)</t>
  </si>
  <si>
    <t>332.97***(0.0000)</t>
  </si>
  <si>
    <t>7.44(0.2819)</t>
  </si>
  <si>
    <t>0.08(0.750)</t>
  </si>
  <si>
    <t>332.18***(0.0000)</t>
  </si>
  <si>
    <t>7.85(0.2490)</t>
  </si>
  <si>
    <t>0.00(0.898)</t>
  </si>
  <si>
    <t>60.92***(0.0000)</t>
  </si>
  <si>
    <t>10.32(0.1712)</t>
  </si>
  <si>
    <t>-0.03(0.597)</t>
  </si>
  <si>
    <t>37.69***(0.0000)</t>
  </si>
  <si>
    <t>4.49(0.8104)</t>
  </si>
  <si>
    <t>-0.01(0.222)</t>
  </si>
  <si>
    <t>60.90***(0.0000)</t>
  </si>
  <si>
    <t>9.12(0.2441)</t>
  </si>
  <si>
    <t>0.15(0.102)</t>
  </si>
  <si>
    <t>63.53***(0.0000)</t>
  </si>
  <si>
    <t>11.50(0.1183)</t>
  </si>
  <si>
    <t>Crisis Period 2020-2023</t>
  </si>
  <si>
    <t>0.00(0.847)</t>
  </si>
  <si>
    <t>146.84***(0.0000)</t>
  </si>
  <si>
    <t>11.61*(0.0713)</t>
  </si>
  <si>
    <t>0.00(0.638)</t>
  </si>
  <si>
    <t>146.58***(0.0000)</t>
  </si>
  <si>
    <t>12.70**(0.0481)</t>
  </si>
  <si>
    <t>0.00(0.844)</t>
  </si>
  <si>
    <t>146.03***(0.0000)</t>
  </si>
  <si>
    <t>11.03*(0.0875)</t>
  </si>
  <si>
    <t>0.00(0.560)</t>
  </si>
  <si>
    <t>146.90***(0.0000)</t>
  </si>
  <si>
    <t>10.85*(0.0930)</t>
  </si>
  <si>
    <t>0.32(0.113)</t>
  </si>
  <si>
    <t>273.21***(0.0000)</t>
  </si>
  <si>
    <t>7.12(0.3100)</t>
  </si>
  <si>
    <t>0.40(0.215)</t>
  </si>
  <si>
    <t>271.26***(0.0000)</t>
  </si>
  <si>
    <t>7.59(0.2696)</t>
  </si>
  <si>
    <t>0.54(0.181)</t>
  </si>
  <si>
    <t>276.53***(0.0000)</t>
  </si>
  <si>
    <t>5.88(0.4368)</t>
  </si>
  <si>
    <t>0.00(0.892)</t>
  </si>
  <si>
    <t>147.34***(0.0000)</t>
  </si>
  <si>
    <t>11.70(0.1649)</t>
  </si>
  <si>
    <t>Estimation Model 3a E × GFIN</t>
  </si>
  <si>
    <t>0.00(0.680)</t>
  </si>
  <si>
    <t>143.66***(0.0000)</t>
  </si>
  <si>
    <t>13.44(0.0976)</t>
  </si>
  <si>
    <t>Estimation Model 3b S × GFIN</t>
  </si>
  <si>
    <t>0.00(0.740)</t>
  </si>
  <si>
    <t>144.45***(0.000)</t>
  </si>
  <si>
    <t>11.61(0.1694)</t>
  </si>
  <si>
    <t>Estimation Model 3c G × GFIN</t>
  </si>
  <si>
    <t>0.00(0.619)</t>
  </si>
  <si>
    <t>143.70***(0.0000)</t>
  </si>
  <si>
    <t>13.12(0.1078)</t>
  </si>
  <si>
    <t>Crisis Phase 2020-2021</t>
  </si>
  <si>
    <t>-0.01(0.245)</t>
  </si>
  <si>
    <t>5.45***(0.0098)</t>
  </si>
  <si>
    <t>7.23(0.2038)</t>
  </si>
  <si>
    <t>0.00(0.419)</t>
  </si>
  <si>
    <t>5.76***(0.0082)</t>
  </si>
  <si>
    <t>6.93(0.2261)</t>
  </si>
  <si>
    <t>-0.10(0.183)</t>
  </si>
  <si>
    <t>5.75***(0.0082)</t>
  </si>
  <si>
    <t>6.88(0.2295)</t>
  </si>
  <si>
    <t>0.00(0.751)</t>
  </si>
  <si>
    <t>5.51***(0.0095)</t>
  </si>
  <si>
    <t>6.06(0.3009)</t>
  </si>
  <si>
    <t>0.28(0.121)</t>
  </si>
  <si>
    <t>52.98***(0.0000)</t>
  </si>
  <si>
    <t>8.23(0.1441)</t>
  </si>
  <si>
    <t>0.09(0.790)</t>
  </si>
  <si>
    <t>52.84***(0.0000)</t>
  </si>
  <si>
    <t>8.74(0.1197)</t>
  </si>
  <si>
    <t>-0.29(0.241)</t>
  </si>
  <si>
    <t>53.22***(0.0000)</t>
  </si>
  <si>
    <t>8.26(0.1426)</t>
  </si>
  <si>
    <t>-0.01(0.265)</t>
  </si>
  <si>
    <t>5.40**(0.0101)</t>
  </si>
  <si>
    <t>5.35(0.6170)</t>
  </si>
  <si>
    <t>-0.01(0.263)</t>
  </si>
  <si>
    <t>6.14(0.5237)</t>
  </si>
  <si>
    <t>-0.01*(0.079)</t>
  </si>
  <si>
    <t>5.86***(0.0077)</t>
  </si>
  <si>
    <t>4.53(0.7169)</t>
  </si>
  <si>
    <t>0.01(0.251)</t>
  </si>
  <si>
    <t>5.87***(0.0077)</t>
  </si>
  <si>
    <t>5.16(0.6399)</t>
  </si>
  <si>
    <t>Recovery Phase 2022-2023</t>
  </si>
  <si>
    <t>0.01(0.679)</t>
  </si>
  <si>
    <t>72.20***(0.0000)</t>
  </si>
  <si>
    <t>10.24*(0.0686)</t>
  </si>
  <si>
    <t>0.00(0.567)</t>
  </si>
  <si>
    <t>72.10***(0.0000)</t>
  </si>
  <si>
    <t>10.62*(0.0594)</t>
  </si>
  <si>
    <t>0.00(0.590)</t>
  </si>
  <si>
    <t>72.28***(0.0000)</t>
  </si>
  <si>
    <t>9.99*(0.0756)</t>
  </si>
  <si>
    <t>0.00(0.984)</t>
  </si>
  <si>
    <t>71.75***(0.000)</t>
  </si>
  <si>
    <t>10.32*(0.0667)</t>
  </si>
  <si>
    <t>-0.06(0.653)</t>
  </si>
  <si>
    <t>80.67***(0.0000)</t>
  </si>
  <si>
    <t>3.02(0.6966)</t>
  </si>
  <si>
    <t>0.23(0.175)</t>
  </si>
  <si>
    <t>78.99***(0.0000)</t>
  </si>
  <si>
    <t>4.07(0.5392)</t>
  </si>
  <si>
    <t>0.24*(0.054)</t>
  </si>
  <si>
    <t>80.46***(0.0000)</t>
  </si>
  <si>
    <t>3.43(0.6336)</t>
  </si>
  <si>
    <t>-0.01(0.228)</t>
  </si>
  <si>
    <t>71.76***(0.0000)</t>
  </si>
  <si>
    <t>10.16(0.1795)</t>
  </si>
  <si>
    <t>0.00(0.516)</t>
  </si>
  <si>
    <t>70.79***(0.0000)</t>
  </si>
  <si>
    <t>11.91(0.1037)</t>
  </si>
  <si>
    <t>0.00(0.657)</t>
  </si>
  <si>
    <t>70.00***(0.0000)</t>
  </si>
  <si>
    <t>12.24*(0.0929)</t>
  </si>
  <si>
    <t>-0.01*(0.083)</t>
  </si>
  <si>
    <t>71.36***(0.0000)</t>
  </si>
  <si>
    <t>10.77(0.1489)</t>
  </si>
  <si>
    <t>SamplePeriod</t>
  </si>
  <si>
    <t>ModelGroup</t>
  </si>
  <si>
    <t>CoefficientText</t>
  </si>
  <si>
    <t>Stars</t>
  </si>
  <si>
    <t>Observations</t>
  </si>
  <si>
    <t>R2Within</t>
  </si>
  <si>
    <t>LMTestPValue</t>
  </si>
  <si>
    <t>HausmanTestPValue</t>
  </si>
  <si>
    <t>RecommendedModel</t>
  </si>
  <si>
    <t xml:space="preserve"> </t>
  </si>
  <si>
    <t>Limited evidence of valuation relevance</t>
  </si>
  <si>
    <t>Weak but notable evidence; Negative valuation relevance</t>
  </si>
  <si>
    <t>Weak but notable evidence; Positive valuation relevance</t>
  </si>
  <si>
    <t>Strong with Positive evidence of valuation relevance</t>
  </si>
  <si>
    <t>Moderate with Positive evidence of valuation relevance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</si>
</sst>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8"/>
      <name val="Calibri"/>
      <family val="2"/>
      <scheme val="minor"/>
    </font>
    <font>
      <sz val="12"/>
      <color rgb="FF000000"/>
      <name val="Aptos Narrow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25EE-5441-4FE0-AFFA-358D3B54A66F}">
  <dimension ref="A1:T802"/>
  <sheetViews>
    <sheetView topLeftCell="C68" zoomScaleNormal="100" workbookViewId="0">
      <selection activeCell="O1" sqref="O1:O1048576"/>
    </sheetView>
  </sheetViews>
  <sheetFormatPr defaultColWidth="0" defaultRowHeight="14.4" zeroHeight="1" x14ac:dyDescent="0.3"/>
  <cols>
    <col min="1" max="1" width="6.77734375" bestFit="1" customWidth="1"/>
    <col min="2" max="2" width="42.77734375" style="3" bestFit="1" customWidth="1"/>
    <col min="3" max="3" width="9.109375" bestFit="1" customWidth="1"/>
    <col min="4" max="4" width="29" bestFit="1" customWidth="1"/>
    <col min="5" max="5" width="4.5546875" style="6" bestFit="1" customWidth="1"/>
    <col min="6" max="6" width="13.88671875" style="6" bestFit="1" customWidth="1"/>
    <col min="7" max="7" width="6.21875" style="6" bestFit="1" customWidth="1"/>
    <col min="8" max="8" width="11.5546875" style="6" bestFit="1" customWidth="1"/>
    <col min="9" max="9" width="5.21875" bestFit="1" customWidth="1"/>
    <col min="10" max="11" width="4" bestFit="1" customWidth="1"/>
    <col min="12" max="12" width="8.21875" bestFit="1" customWidth="1"/>
    <col min="13" max="13" width="6.21875" bestFit="1" customWidth="1"/>
    <col min="14" max="14" width="6.5546875" bestFit="1" customWidth="1"/>
    <col min="15" max="15" width="4.6640625" bestFit="1" customWidth="1"/>
    <col min="16" max="16" width="12.21875" bestFit="1" customWidth="1"/>
    <col min="17" max="17" width="8.33203125" bestFit="1" customWidth="1"/>
    <col min="18" max="18" width="20.21875" bestFit="1" customWidth="1"/>
    <col min="19" max="19" width="12.77734375" bestFit="1" customWidth="1"/>
    <col min="20" max="20" width="3.88671875" customWidth="1"/>
    <col min="21" max="16384" width="8.88671875" hidden="1"/>
  </cols>
  <sheetData>
    <row r="1" spans="1:19" s="7" customFormat="1" ht="15.6" x14ac:dyDescent="0.3">
      <c r="A1" s="8" t="s">
        <v>51</v>
      </c>
      <c r="B1" s="8" t="s">
        <v>52</v>
      </c>
      <c r="C1" s="14" t="s">
        <v>153</v>
      </c>
      <c r="D1" s="15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7" t="s">
        <v>173</v>
      </c>
      <c r="J1" s="14" t="s">
        <v>183</v>
      </c>
      <c r="K1" s="14" t="s">
        <v>182</v>
      </c>
      <c r="L1" s="8" t="s">
        <v>174</v>
      </c>
      <c r="M1" s="8" t="s">
        <v>175</v>
      </c>
      <c r="N1" s="8" t="s">
        <v>176</v>
      </c>
      <c r="O1" s="7" t="s">
        <v>180</v>
      </c>
      <c r="P1" s="7" t="s">
        <v>181</v>
      </c>
      <c r="Q1" s="7" t="s">
        <v>177</v>
      </c>
      <c r="R1" s="7" t="s">
        <v>179</v>
      </c>
      <c r="S1" s="7" t="s">
        <v>178</v>
      </c>
    </row>
    <row r="2" spans="1:19" ht="15.6" x14ac:dyDescent="0.3">
      <c r="A2" s="1" t="s">
        <v>0</v>
      </c>
      <c r="B2" s="2" t="s">
        <v>53</v>
      </c>
      <c r="C2" s="1">
        <v>2016</v>
      </c>
      <c r="D2" s="4" t="s">
        <v>154</v>
      </c>
      <c r="E2" s="5"/>
      <c r="F2" s="5"/>
      <c r="G2" s="5"/>
      <c r="H2" s="5"/>
      <c r="I2">
        <v>0</v>
      </c>
      <c r="J2" s="1">
        <v>0</v>
      </c>
      <c r="K2" s="1">
        <v>0</v>
      </c>
      <c r="L2" s="9"/>
      <c r="M2" s="9"/>
      <c r="N2" s="9"/>
      <c r="O2" s="9">
        <f>LN(301.26)</f>
        <v>5.7079736792746694</v>
      </c>
      <c r="P2" s="12">
        <v>2.1</v>
      </c>
      <c r="Q2" s="9"/>
      <c r="R2" s="9"/>
      <c r="S2" s="9"/>
    </row>
    <row r="3" spans="1:19" ht="15.6" x14ac:dyDescent="0.3">
      <c r="A3" s="1" t="s">
        <v>0</v>
      </c>
      <c r="B3" s="2" t="s">
        <v>53</v>
      </c>
      <c r="C3" s="1">
        <v>2017</v>
      </c>
      <c r="D3" s="4" t="s">
        <v>154</v>
      </c>
      <c r="E3" s="5"/>
      <c r="F3" s="5"/>
      <c r="G3" s="5"/>
      <c r="H3" s="5"/>
      <c r="I3">
        <v>0</v>
      </c>
      <c r="J3" s="1">
        <v>0</v>
      </c>
      <c r="K3" s="1">
        <v>0</v>
      </c>
      <c r="L3" s="9"/>
      <c r="M3" s="9"/>
      <c r="N3" s="9"/>
      <c r="O3" s="9">
        <f>LN(319.11)</f>
        <v>5.7655358709316831</v>
      </c>
      <c r="P3" s="9">
        <v>3.9</v>
      </c>
      <c r="Q3" s="9"/>
      <c r="R3" s="9"/>
      <c r="S3" s="9"/>
    </row>
    <row r="4" spans="1:19" ht="15.6" x14ac:dyDescent="0.3">
      <c r="A4" s="1" t="s">
        <v>0</v>
      </c>
      <c r="B4" s="2" t="s">
        <v>53</v>
      </c>
      <c r="C4" s="1">
        <v>2018</v>
      </c>
      <c r="D4" s="4" t="s">
        <v>154</v>
      </c>
      <c r="E4" s="5"/>
      <c r="F4" s="5"/>
      <c r="G4" s="5"/>
      <c r="H4" s="5"/>
      <c r="I4">
        <v>0</v>
      </c>
      <c r="J4" s="1">
        <v>0</v>
      </c>
      <c r="K4" s="1">
        <v>0</v>
      </c>
      <c r="L4" s="9"/>
      <c r="M4" s="9"/>
      <c r="N4" s="9"/>
      <c r="O4" s="9">
        <f>LN(358.79)</f>
        <v>5.8827372591162019</v>
      </c>
      <c r="P4" s="9">
        <v>0.9</v>
      </c>
      <c r="Q4" s="9"/>
      <c r="R4" s="9"/>
      <c r="S4" s="9"/>
    </row>
    <row r="5" spans="1:19" ht="15.6" x14ac:dyDescent="0.3">
      <c r="A5" s="1" t="s">
        <v>0</v>
      </c>
      <c r="B5" s="2" t="s">
        <v>53</v>
      </c>
      <c r="C5" s="1">
        <v>2019</v>
      </c>
      <c r="D5" s="4" t="s">
        <v>154</v>
      </c>
      <c r="E5" s="5"/>
      <c r="F5" s="5"/>
      <c r="G5" s="5"/>
      <c r="H5" s="5"/>
      <c r="I5">
        <v>0</v>
      </c>
      <c r="J5" s="1">
        <v>0</v>
      </c>
      <c r="K5" s="1">
        <v>0</v>
      </c>
      <c r="L5" s="9"/>
      <c r="M5" s="9"/>
      <c r="N5" s="9"/>
      <c r="O5" s="9">
        <f>LN(365.18)</f>
        <v>5.9003903827085873</v>
      </c>
      <c r="P5" s="12">
        <v>0.7</v>
      </c>
      <c r="Q5" s="9"/>
      <c r="R5" s="9"/>
      <c r="S5" s="9"/>
    </row>
    <row r="6" spans="1:19" ht="15.6" x14ac:dyDescent="0.3">
      <c r="A6" s="1" t="s">
        <v>0</v>
      </c>
      <c r="B6" s="2" t="s">
        <v>53</v>
      </c>
      <c r="C6" s="1">
        <v>2020</v>
      </c>
      <c r="D6" s="4" t="s">
        <v>154</v>
      </c>
      <c r="E6" s="5"/>
      <c r="F6" s="5"/>
      <c r="G6" s="5"/>
      <c r="H6" s="5"/>
      <c r="I6">
        <v>0</v>
      </c>
      <c r="J6" s="1">
        <v>0</v>
      </c>
      <c r="K6" s="1">
        <v>0</v>
      </c>
      <c r="L6" s="9"/>
      <c r="M6" s="9"/>
      <c r="N6" s="9"/>
      <c r="O6" s="9">
        <f>LN(337.46)</f>
        <v>5.8214469847701915</v>
      </c>
      <c r="P6" s="12">
        <v>-0.1</v>
      </c>
      <c r="Q6" s="9"/>
      <c r="R6" s="9"/>
      <c r="S6" s="9"/>
    </row>
    <row r="7" spans="1:19" ht="15.6" x14ac:dyDescent="0.3">
      <c r="A7" s="1" t="s">
        <v>0</v>
      </c>
      <c r="B7" s="2" t="s">
        <v>53</v>
      </c>
      <c r="C7" s="1">
        <v>2021</v>
      </c>
      <c r="D7" s="4" t="s">
        <v>154</v>
      </c>
      <c r="E7" s="5"/>
      <c r="F7" s="5"/>
      <c r="G7" s="5"/>
      <c r="H7" s="5"/>
      <c r="I7">
        <v>0</v>
      </c>
      <c r="J7" s="1">
        <v>0</v>
      </c>
      <c r="K7" s="1">
        <v>0</v>
      </c>
      <c r="L7" s="9"/>
      <c r="M7" s="9">
        <v>17.77</v>
      </c>
      <c r="N7" s="9">
        <v>56.87</v>
      </c>
      <c r="O7" s="9">
        <f>LN(373.78)</f>
        <v>5.9236673890421567</v>
      </c>
      <c r="P7" s="12">
        <v>2.5</v>
      </c>
      <c r="Q7" s="9">
        <v>13.243943638909098</v>
      </c>
      <c r="R7" s="9"/>
      <c r="S7" s="9">
        <v>0.6874450977614055</v>
      </c>
    </row>
    <row r="8" spans="1:19" ht="15.6" x14ac:dyDescent="0.3">
      <c r="A8" s="1" t="s">
        <v>0</v>
      </c>
      <c r="B8" s="2" t="s">
        <v>53</v>
      </c>
      <c r="C8" s="1">
        <v>2022</v>
      </c>
      <c r="D8" s="4" t="s">
        <v>154</v>
      </c>
      <c r="E8" s="5"/>
      <c r="F8" s="5"/>
      <c r="G8" s="5"/>
      <c r="H8" s="5"/>
      <c r="I8">
        <v>0</v>
      </c>
      <c r="J8" s="1">
        <v>0</v>
      </c>
      <c r="K8" s="1">
        <v>0</v>
      </c>
      <c r="L8" s="9"/>
      <c r="M8" s="9">
        <v>13.72</v>
      </c>
      <c r="N8" s="9">
        <v>51.7</v>
      </c>
      <c r="O8" s="9">
        <f>LN(407.61)</f>
        <v>6.0103108349043417</v>
      </c>
      <c r="P8" s="12">
        <v>3.4</v>
      </c>
      <c r="Q8" s="9">
        <v>13.198234936381352</v>
      </c>
      <c r="R8" s="9"/>
      <c r="S8" s="9">
        <v>0.73456282025613073</v>
      </c>
    </row>
    <row r="9" spans="1:19" ht="15.6" x14ac:dyDescent="0.3">
      <c r="A9" s="1" t="s">
        <v>0</v>
      </c>
      <c r="B9" s="2" t="s">
        <v>53</v>
      </c>
      <c r="C9" s="1">
        <v>2023</v>
      </c>
      <c r="D9" s="4" t="s">
        <v>154</v>
      </c>
      <c r="E9" s="5"/>
      <c r="F9" s="5"/>
      <c r="G9" s="5"/>
      <c r="H9" s="5"/>
      <c r="I9">
        <v>0</v>
      </c>
      <c r="J9" s="1">
        <v>0</v>
      </c>
      <c r="K9" s="1">
        <v>0</v>
      </c>
      <c r="L9" s="9"/>
      <c r="M9" s="9">
        <v>15.01</v>
      </c>
      <c r="N9" s="9">
        <v>73.900000000000006</v>
      </c>
      <c r="O9" s="9">
        <f>LN(399.71)</f>
        <v>5.9907392841683871</v>
      </c>
      <c r="P9" s="12">
        <v>2.5</v>
      </c>
      <c r="Q9" s="9">
        <v>13.27200504977629</v>
      </c>
      <c r="R9" s="9">
        <v>0.41666666666666669</v>
      </c>
      <c r="S9" s="9">
        <v>0.79688277605478819</v>
      </c>
    </row>
    <row r="10" spans="1:19" ht="15.6" x14ac:dyDescent="0.3">
      <c r="A10" s="1" t="s">
        <v>1</v>
      </c>
      <c r="B10" s="2" t="s">
        <v>54</v>
      </c>
      <c r="C10" s="1">
        <v>2016</v>
      </c>
      <c r="D10" s="4" t="s">
        <v>155</v>
      </c>
      <c r="E10" s="5"/>
      <c r="F10" s="5"/>
      <c r="G10" s="5"/>
      <c r="H10" s="5"/>
      <c r="I10">
        <v>1.8</v>
      </c>
      <c r="J10" s="1">
        <v>1</v>
      </c>
      <c r="K10" s="1">
        <v>0.8</v>
      </c>
      <c r="L10" s="9"/>
      <c r="M10" s="9"/>
      <c r="N10" s="9"/>
      <c r="O10" s="9">
        <f>LN(301.26)</f>
        <v>5.7079736792746694</v>
      </c>
      <c r="P10" s="12">
        <v>2.1</v>
      </c>
      <c r="Q10" s="9"/>
      <c r="R10" s="9">
        <v>0.44444444444444442</v>
      </c>
      <c r="S10" s="9"/>
    </row>
    <row r="11" spans="1:19" ht="15.6" x14ac:dyDescent="0.3">
      <c r="A11" s="1" t="s">
        <v>1</v>
      </c>
      <c r="B11" s="2" t="s">
        <v>54</v>
      </c>
      <c r="C11" s="1">
        <v>2017</v>
      </c>
      <c r="D11" s="4" t="s">
        <v>155</v>
      </c>
      <c r="E11" s="5"/>
      <c r="F11" s="5"/>
      <c r="G11" s="5"/>
      <c r="H11" s="5"/>
      <c r="I11">
        <v>1.8</v>
      </c>
      <c r="J11" s="1">
        <v>1</v>
      </c>
      <c r="K11" s="1">
        <v>0.8</v>
      </c>
      <c r="L11" s="9"/>
      <c r="M11" s="9"/>
      <c r="N11" s="9"/>
      <c r="O11" s="9">
        <f>LN(319.11)</f>
        <v>5.7655358709316831</v>
      </c>
      <c r="P11" s="9">
        <v>3.9</v>
      </c>
      <c r="Q11" s="9"/>
      <c r="R11" s="9">
        <v>0.44444444444444442</v>
      </c>
      <c r="S11" s="9"/>
    </row>
    <row r="12" spans="1:19" ht="15.6" x14ac:dyDescent="0.3">
      <c r="A12" s="1" t="s">
        <v>1</v>
      </c>
      <c r="B12" s="2" t="s">
        <v>54</v>
      </c>
      <c r="C12" s="1">
        <v>2018</v>
      </c>
      <c r="D12" s="4" t="s">
        <v>155</v>
      </c>
      <c r="E12" s="5"/>
      <c r="F12" s="5"/>
      <c r="G12" s="5"/>
      <c r="H12" s="5"/>
      <c r="I12">
        <v>1.8</v>
      </c>
      <c r="J12" s="1">
        <v>1</v>
      </c>
      <c r="K12" s="1">
        <v>0.8</v>
      </c>
      <c r="L12" s="9"/>
      <c r="M12" s="9"/>
      <c r="N12" s="9"/>
      <c r="O12" s="9">
        <f>LN(358.79)</f>
        <v>5.8827372591162019</v>
      </c>
      <c r="P12" s="9">
        <v>0.9</v>
      </c>
      <c r="Q12" s="9"/>
      <c r="R12" s="9">
        <v>0.55555555555555558</v>
      </c>
      <c r="S12" s="9"/>
    </row>
    <row r="13" spans="1:19" ht="15.6" x14ac:dyDescent="0.3">
      <c r="A13" s="1" t="s">
        <v>1</v>
      </c>
      <c r="B13" s="2" t="s">
        <v>54</v>
      </c>
      <c r="C13" s="1">
        <v>2019</v>
      </c>
      <c r="D13" s="4" t="s">
        <v>155</v>
      </c>
      <c r="E13" s="5"/>
      <c r="F13" s="5"/>
      <c r="G13" s="5"/>
      <c r="H13" s="5"/>
      <c r="I13">
        <v>1.8</v>
      </c>
      <c r="J13" s="1">
        <v>1</v>
      </c>
      <c r="K13" s="1">
        <v>0.8</v>
      </c>
      <c r="L13" s="9"/>
      <c r="M13" s="9"/>
      <c r="N13" s="9"/>
      <c r="O13" s="9">
        <f>LN(365.18)</f>
        <v>5.9003903827085873</v>
      </c>
      <c r="P13" s="12">
        <v>0.7</v>
      </c>
      <c r="Q13" s="9"/>
      <c r="R13" s="9">
        <v>0.55555555555555558</v>
      </c>
      <c r="S13" s="9"/>
    </row>
    <row r="14" spans="1:19" ht="15.6" x14ac:dyDescent="0.3">
      <c r="A14" s="1" t="s">
        <v>1</v>
      </c>
      <c r="B14" s="2" t="s">
        <v>54</v>
      </c>
      <c r="C14" s="1">
        <v>2020</v>
      </c>
      <c r="D14" s="4" t="s">
        <v>155</v>
      </c>
      <c r="E14" s="5"/>
      <c r="F14" s="5"/>
      <c r="G14" s="5"/>
      <c r="H14" s="5"/>
      <c r="I14">
        <v>2</v>
      </c>
      <c r="J14" s="1">
        <v>1</v>
      </c>
      <c r="K14" s="1">
        <v>1</v>
      </c>
      <c r="L14" s="9"/>
      <c r="M14" s="9"/>
      <c r="N14" s="9"/>
      <c r="O14" s="9">
        <f>LN(337.46)</f>
        <v>5.8214469847701915</v>
      </c>
      <c r="P14" s="12">
        <v>-0.1</v>
      </c>
      <c r="Q14" s="9"/>
      <c r="R14" s="9">
        <v>0.55555555555555558</v>
      </c>
      <c r="S14" s="9"/>
    </row>
    <row r="15" spans="1:19" ht="15.6" x14ac:dyDescent="0.3">
      <c r="A15" s="1" t="s">
        <v>1</v>
      </c>
      <c r="B15" s="2" t="s">
        <v>54</v>
      </c>
      <c r="C15" s="1">
        <v>2021</v>
      </c>
      <c r="D15" s="4" t="s">
        <v>155</v>
      </c>
      <c r="E15" s="5"/>
      <c r="F15" s="5"/>
      <c r="G15" s="5"/>
      <c r="H15" s="5"/>
      <c r="I15">
        <v>2</v>
      </c>
      <c r="J15" s="1">
        <v>1</v>
      </c>
      <c r="K15" s="1">
        <v>1</v>
      </c>
      <c r="L15" s="9">
        <v>0.37</v>
      </c>
      <c r="M15" s="9">
        <v>3.6</v>
      </c>
      <c r="N15" s="9">
        <v>16.600000000000001</v>
      </c>
      <c r="O15" s="9">
        <f>LN(373.78)</f>
        <v>5.9236673890421567</v>
      </c>
      <c r="P15" s="12">
        <v>2.5</v>
      </c>
      <c r="Q15" s="9">
        <v>14.69676212580988</v>
      </c>
      <c r="R15" s="9">
        <v>0.55555555555555558</v>
      </c>
      <c r="S15" s="9"/>
    </row>
    <row r="16" spans="1:19" ht="15.6" x14ac:dyDescent="0.3">
      <c r="A16" s="1" t="s">
        <v>1</v>
      </c>
      <c r="B16" s="2" t="s">
        <v>54</v>
      </c>
      <c r="C16" s="1">
        <v>2022</v>
      </c>
      <c r="D16" s="4" t="s">
        <v>155</v>
      </c>
      <c r="E16" s="5">
        <v>61</v>
      </c>
      <c r="F16" s="5">
        <v>34.1</v>
      </c>
      <c r="G16" s="5">
        <v>55.3</v>
      </c>
      <c r="H16" s="5">
        <v>86</v>
      </c>
      <c r="I16">
        <v>2</v>
      </c>
      <c r="J16" s="1">
        <v>1</v>
      </c>
      <c r="K16" s="1">
        <v>1</v>
      </c>
      <c r="L16" s="9">
        <v>0.28000000000000003</v>
      </c>
      <c r="M16" s="9">
        <v>3.76</v>
      </c>
      <c r="N16" s="9">
        <v>16.54</v>
      </c>
      <c r="O16" s="9">
        <f>LN(407.61)</f>
        <v>6.0103108349043417</v>
      </c>
      <c r="P16" s="12">
        <v>3.4</v>
      </c>
      <c r="Q16" s="9">
        <v>14.723590876450606</v>
      </c>
      <c r="R16" s="9">
        <v>0.55555555555555558</v>
      </c>
      <c r="S16" s="9">
        <v>0.76220358628432971</v>
      </c>
    </row>
    <row r="17" spans="1:19" ht="15.6" x14ac:dyDescent="0.3">
      <c r="A17" s="1" t="s">
        <v>1</v>
      </c>
      <c r="B17" s="2" t="s">
        <v>54</v>
      </c>
      <c r="C17" s="1">
        <v>2023</v>
      </c>
      <c r="D17" s="4" t="s">
        <v>155</v>
      </c>
      <c r="E17" s="5"/>
      <c r="F17" s="5"/>
      <c r="G17" s="5"/>
      <c r="H17" s="5"/>
      <c r="I17">
        <v>1.3</v>
      </c>
      <c r="J17" s="1">
        <v>0.5</v>
      </c>
      <c r="K17" s="1">
        <v>0.8</v>
      </c>
      <c r="L17" s="9">
        <v>0.26</v>
      </c>
      <c r="M17" s="9">
        <v>3.36</v>
      </c>
      <c r="N17" s="9">
        <v>16.079999999999998</v>
      </c>
      <c r="O17" s="9">
        <f>LN(399.71)</f>
        <v>5.9907392841683871</v>
      </c>
      <c r="P17" s="12">
        <v>2.5</v>
      </c>
      <c r="Q17" s="9">
        <v>14.789942265251062</v>
      </c>
      <c r="R17" s="9">
        <v>0.55555555555555558</v>
      </c>
      <c r="S17" s="9">
        <v>0.72326988244911328</v>
      </c>
    </row>
    <row r="18" spans="1:19" ht="15.6" x14ac:dyDescent="0.3">
      <c r="A18" s="1" t="s">
        <v>2</v>
      </c>
      <c r="B18" s="2" t="s">
        <v>55</v>
      </c>
      <c r="C18" s="1">
        <v>2016</v>
      </c>
      <c r="D18" s="4" t="s">
        <v>155</v>
      </c>
      <c r="E18" s="5"/>
      <c r="F18" s="5"/>
      <c r="G18" s="5"/>
      <c r="H18" s="5"/>
      <c r="I18">
        <v>2</v>
      </c>
      <c r="J18" s="1">
        <v>1</v>
      </c>
      <c r="K18" s="1">
        <v>1</v>
      </c>
      <c r="L18" s="9"/>
      <c r="M18" s="9">
        <v>0.77</v>
      </c>
      <c r="N18" s="11">
        <v>8</v>
      </c>
      <c r="O18" s="9">
        <f>LN(301.26)</f>
        <v>5.7079736792746694</v>
      </c>
      <c r="P18" s="12">
        <v>2.1</v>
      </c>
      <c r="Q18" s="9">
        <v>16.412008670676187</v>
      </c>
      <c r="R18" s="9">
        <v>0.55555555555555558</v>
      </c>
      <c r="S18" s="9">
        <v>0.90357236131285013</v>
      </c>
    </row>
    <row r="19" spans="1:19" ht="15.6" x14ac:dyDescent="0.3">
      <c r="A19" s="1" t="s">
        <v>2</v>
      </c>
      <c r="B19" s="2" t="s">
        <v>55</v>
      </c>
      <c r="C19" s="1">
        <v>2017</v>
      </c>
      <c r="D19" s="4" t="s">
        <v>155</v>
      </c>
      <c r="E19" s="5"/>
      <c r="F19" s="5"/>
      <c r="G19" s="5"/>
      <c r="H19" s="5"/>
      <c r="I19">
        <v>1.8</v>
      </c>
      <c r="J19" s="1">
        <v>1</v>
      </c>
      <c r="K19" s="1">
        <v>0.8</v>
      </c>
      <c r="L19" s="9"/>
      <c r="M19" s="9">
        <v>0.61</v>
      </c>
      <c r="N19" s="9">
        <v>5.0999999999999996</v>
      </c>
      <c r="O19" s="9">
        <f>LN(319.11)</f>
        <v>5.7655358709316831</v>
      </c>
      <c r="P19" s="9">
        <v>3.9</v>
      </c>
      <c r="Q19" s="9">
        <v>16.662455891087465</v>
      </c>
      <c r="R19" s="9">
        <v>0.55555555555555558</v>
      </c>
      <c r="S19" s="9">
        <v>0.88103216850959676</v>
      </c>
    </row>
    <row r="20" spans="1:19" ht="15.6" x14ac:dyDescent="0.3">
      <c r="A20" s="1" t="s">
        <v>2</v>
      </c>
      <c r="B20" s="2" t="s">
        <v>55</v>
      </c>
      <c r="C20" s="1">
        <v>2018</v>
      </c>
      <c r="D20" s="4" t="s">
        <v>155</v>
      </c>
      <c r="E20" s="5"/>
      <c r="F20" s="5"/>
      <c r="G20" s="5"/>
      <c r="H20" s="5"/>
      <c r="I20">
        <v>2</v>
      </c>
      <c r="J20" s="1">
        <v>1</v>
      </c>
      <c r="K20" s="1">
        <v>1</v>
      </c>
      <c r="L20" s="9"/>
      <c r="M20" s="9">
        <v>0.69</v>
      </c>
      <c r="N20" s="9">
        <v>6.03</v>
      </c>
      <c r="O20" s="9">
        <f>LN(358.79)</f>
        <v>5.8827372591162019</v>
      </c>
      <c r="P20" s="9">
        <v>0.9</v>
      </c>
      <c r="Q20" s="9">
        <v>16.725600898230606</v>
      </c>
      <c r="R20" s="9">
        <v>0.55555555555555558</v>
      </c>
      <c r="S20" s="9">
        <v>0.88494811955057007</v>
      </c>
    </row>
    <row r="21" spans="1:19" ht="15.6" x14ac:dyDescent="0.3">
      <c r="A21" s="1" t="s">
        <v>2</v>
      </c>
      <c r="B21" s="2" t="s">
        <v>55</v>
      </c>
      <c r="C21" s="1">
        <v>2019</v>
      </c>
      <c r="D21" s="4" t="s">
        <v>155</v>
      </c>
      <c r="E21" s="5"/>
      <c r="F21" s="5"/>
      <c r="G21" s="5"/>
      <c r="H21" s="5"/>
      <c r="I21">
        <v>2</v>
      </c>
      <c r="J21" s="1">
        <v>1</v>
      </c>
      <c r="K21" s="1">
        <v>1</v>
      </c>
      <c r="L21" s="9">
        <v>0.06</v>
      </c>
      <c r="M21" s="9">
        <v>0.76</v>
      </c>
      <c r="N21" s="9">
        <v>5.49</v>
      </c>
      <c r="O21" s="9">
        <f>LN(365.18)</f>
        <v>5.9003903827085873</v>
      </c>
      <c r="P21" s="12">
        <v>0.7</v>
      </c>
      <c r="Q21" s="9">
        <v>16.630868258121453</v>
      </c>
      <c r="R21" s="9">
        <v>0.55555555555555558</v>
      </c>
      <c r="S21" s="9">
        <v>0.86250484156437202</v>
      </c>
    </row>
    <row r="22" spans="1:19" ht="15.6" x14ac:dyDescent="0.3">
      <c r="A22" s="1" t="s">
        <v>2</v>
      </c>
      <c r="B22" s="2" t="s">
        <v>55</v>
      </c>
      <c r="C22" s="1">
        <v>2020</v>
      </c>
      <c r="D22" s="4" t="s">
        <v>155</v>
      </c>
      <c r="E22" s="5"/>
      <c r="F22" s="5"/>
      <c r="G22" s="5"/>
      <c r="H22" s="5"/>
      <c r="I22">
        <v>1.3</v>
      </c>
      <c r="J22" s="1">
        <v>0.5</v>
      </c>
      <c r="K22" s="1">
        <v>0.8</v>
      </c>
      <c r="L22" s="9">
        <v>0.06</v>
      </c>
      <c r="M22" s="9">
        <v>0.39</v>
      </c>
      <c r="N22" s="9">
        <v>2.83</v>
      </c>
      <c r="O22" s="9">
        <f>LN(337.46)</f>
        <v>5.8214469847701915</v>
      </c>
      <c r="P22" s="12">
        <v>-0.1</v>
      </c>
      <c r="Q22" s="9">
        <v>16.667823629514636</v>
      </c>
      <c r="R22" s="9">
        <v>0.45454545454545453</v>
      </c>
      <c r="S22" s="9">
        <v>0.86140959714715348</v>
      </c>
    </row>
    <row r="23" spans="1:19" ht="15.6" x14ac:dyDescent="0.3">
      <c r="A23" s="1" t="s">
        <v>2</v>
      </c>
      <c r="B23" s="2" t="s">
        <v>55</v>
      </c>
      <c r="C23" s="1">
        <v>2021</v>
      </c>
      <c r="D23" s="4" t="s">
        <v>155</v>
      </c>
      <c r="E23" s="5">
        <v>34.299999999999997</v>
      </c>
      <c r="F23" s="5">
        <v>37.200000000000003</v>
      </c>
      <c r="G23" s="5">
        <v>38.1</v>
      </c>
      <c r="H23" s="5">
        <v>35</v>
      </c>
      <c r="I23">
        <v>1.5</v>
      </c>
      <c r="J23" s="1">
        <v>0.5</v>
      </c>
      <c r="K23" s="1">
        <v>1</v>
      </c>
      <c r="L23" s="9">
        <v>0.05</v>
      </c>
      <c r="M23" s="9">
        <v>0.74</v>
      </c>
      <c r="N23" s="9">
        <v>5.84</v>
      </c>
      <c r="O23" s="9">
        <f>LN(373.78)</f>
        <v>5.9236673890421567</v>
      </c>
      <c r="P23" s="12">
        <v>2.5</v>
      </c>
      <c r="Q23" s="9">
        <v>16.748351273392245</v>
      </c>
      <c r="R23" s="9">
        <v>0.45454545454545453</v>
      </c>
      <c r="S23" s="9">
        <v>0.87334215931861858</v>
      </c>
    </row>
    <row r="24" spans="1:19" ht="15.6" x14ac:dyDescent="0.3">
      <c r="A24" s="1" t="s">
        <v>2</v>
      </c>
      <c r="B24" s="2" t="s">
        <v>55</v>
      </c>
      <c r="C24" s="1">
        <v>2022</v>
      </c>
      <c r="D24" s="4" t="s">
        <v>155</v>
      </c>
      <c r="E24" s="5">
        <v>31.8</v>
      </c>
      <c r="F24" s="5">
        <v>36.4</v>
      </c>
      <c r="G24" s="5">
        <v>35.9</v>
      </c>
      <c r="H24" s="5">
        <v>30.7</v>
      </c>
      <c r="I24">
        <v>2</v>
      </c>
      <c r="J24" s="1">
        <v>1</v>
      </c>
      <c r="K24" s="1">
        <v>1</v>
      </c>
      <c r="L24" s="9">
        <v>0.05</v>
      </c>
      <c r="M24" s="9">
        <v>1.34</v>
      </c>
      <c r="N24" s="9">
        <v>11.32</v>
      </c>
      <c r="O24" s="9">
        <f>LN(407.61)</f>
        <v>6.0103108349043417</v>
      </c>
      <c r="P24" s="12">
        <v>3.4</v>
      </c>
      <c r="Q24" s="9">
        <v>16.832107688566257</v>
      </c>
      <c r="R24" s="9">
        <v>0.45454545454545453</v>
      </c>
      <c r="S24" s="9">
        <v>0.88206034557096447</v>
      </c>
    </row>
    <row r="25" spans="1:19" ht="15.6" x14ac:dyDescent="0.3">
      <c r="A25" s="1" t="s">
        <v>2</v>
      </c>
      <c r="B25" s="2" t="s">
        <v>55</v>
      </c>
      <c r="C25" s="1">
        <v>2023</v>
      </c>
      <c r="D25" s="4" t="s">
        <v>155</v>
      </c>
      <c r="E25" s="5">
        <v>34.299999999999997</v>
      </c>
      <c r="F25" s="5">
        <v>37.200000000000003</v>
      </c>
      <c r="G25" s="5">
        <v>38.1</v>
      </c>
      <c r="H25" s="5">
        <v>35</v>
      </c>
      <c r="I25">
        <v>2</v>
      </c>
      <c r="J25" s="1">
        <v>1</v>
      </c>
      <c r="K25" s="1">
        <v>1</v>
      </c>
      <c r="L25" s="9">
        <v>0.05</v>
      </c>
      <c r="M25" s="9">
        <v>0.38</v>
      </c>
      <c r="N25" s="9">
        <v>3.62</v>
      </c>
      <c r="O25" s="9">
        <f>LN(399.71)</f>
        <v>5.9907392841683871</v>
      </c>
      <c r="P25" s="12">
        <v>2.5</v>
      </c>
      <c r="Q25" s="9">
        <v>16.947620270308512</v>
      </c>
      <c r="R25" s="9">
        <v>0.45454545454545453</v>
      </c>
      <c r="S25" s="9">
        <v>0.89445071975363022</v>
      </c>
    </row>
    <row r="26" spans="1:19" ht="15.6" x14ac:dyDescent="0.3">
      <c r="A26" s="1" t="s">
        <v>3</v>
      </c>
      <c r="B26" s="2" t="s">
        <v>56</v>
      </c>
      <c r="C26" s="1">
        <v>2016</v>
      </c>
      <c r="D26" s="4" t="s">
        <v>155</v>
      </c>
      <c r="E26" s="5">
        <v>38.299999999999997</v>
      </c>
      <c r="F26" s="5">
        <v>0.9</v>
      </c>
      <c r="G26" s="5">
        <v>53.3</v>
      </c>
      <c r="H26" s="5">
        <v>36</v>
      </c>
      <c r="I26">
        <v>2</v>
      </c>
      <c r="J26" s="1">
        <v>1</v>
      </c>
      <c r="K26" s="1">
        <v>1</v>
      </c>
      <c r="L26" s="9"/>
      <c r="M26" s="9">
        <v>0.95</v>
      </c>
      <c r="N26" s="9">
        <v>10.01</v>
      </c>
      <c r="O26" s="9">
        <f>LN(301.26)</f>
        <v>5.7079736792746694</v>
      </c>
      <c r="P26" s="12">
        <v>2.1</v>
      </c>
      <c r="Q26" s="9">
        <v>16.31853336473689</v>
      </c>
      <c r="R26" s="9">
        <v>0.55555555555555558</v>
      </c>
      <c r="S26" s="9">
        <v>0.90544860109457315</v>
      </c>
    </row>
    <row r="27" spans="1:19" ht="15.6" x14ac:dyDescent="0.3">
      <c r="A27" s="1" t="s">
        <v>3</v>
      </c>
      <c r="B27" s="2" t="s">
        <v>56</v>
      </c>
      <c r="C27" s="1">
        <v>2017</v>
      </c>
      <c r="D27" s="4" t="s">
        <v>155</v>
      </c>
      <c r="E27" s="5">
        <v>38.4</v>
      </c>
      <c r="F27" s="5">
        <v>10.199999999999999</v>
      </c>
      <c r="G27" s="5">
        <v>49.9</v>
      </c>
      <c r="H27" s="5">
        <v>36.4</v>
      </c>
      <c r="I27">
        <v>1.8</v>
      </c>
      <c r="J27" s="1">
        <v>1</v>
      </c>
      <c r="K27" s="1">
        <v>0.8</v>
      </c>
      <c r="L27" s="9"/>
      <c r="M27" s="9">
        <v>0.92</v>
      </c>
      <c r="N27" s="9">
        <v>9.0299999999999994</v>
      </c>
      <c r="O27" s="9">
        <f>LN(319.11)</f>
        <v>5.7655358709316831</v>
      </c>
      <c r="P27" s="9">
        <v>3.9</v>
      </c>
      <c r="Q27" s="9">
        <v>16.451493810299041</v>
      </c>
      <c r="R27" s="9">
        <v>0.55555555555555558</v>
      </c>
      <c r="S27" s="9">
        <v>0.89871275613169532</v>
      </c>
    </row>
    <row r="28" spans="1:19" ht="15.6" x14ac:dyDescent="0.3">
      <c r="A28" s="1" t="s">
        <v>3</v>
      </c>
      <c r="B28" s="2" t="s">
        <v>56</v>
      </c>
      <c r="C28" s="1">
        <v>2018</v>
      </c>
      <c r="D28" s="4" t="s">
        <v>155</v>
      </c>
      <c r="E28" s="5">
        <v>39.799999999999997</v>
      </c>
      <c r="F28" s="5">
        <v>14</v>
      </c>
      <c r="G28" s="5">
        <v>46.8</v>
      </c>
      <c r="H28" s="5">
        <v>42.7</v>
      </c>
      <c r="I28">
        <v>1.6</v>
      </c>
      <c r="J28" s="1">
        <v>1</v>
      </c>
      <c r="K28" s="1">
        <v>0.6</v>
      </c>
      <c r="L28" s="9"/>
      <c r="M28" s="9">
        <v>0.95</v>
      </c>
      <c r="N28" s="9">
        <v>9.3800000000000008</v>
      </c>
      <c r="O28" s="9">
        <f>LN(358.79)</f>
        <v>5.8827372591162019</v>
      </c>
      <c r="P28" s="9">
        <v>0.9</v>
      </c>
      <c r="Q28" s="9">
        <v>16.443778173113916</v>
      </c>
      <c r="R28" s="9">
        <v>0.55555555555555558</v>
      </c>
      <c r="S28" s="9">
        <v>0.89857120948556779</v>
      </c>
    </row>
    <row r="29" spans="1:19" ht="15.6" x14ac:dyDescent="0.3">
      <c r="A29" s="1" t="s">
        <v>3</v>
      </c>
      <c r="B29" s="2" t="s">
        <v>56</v>
      </c>
      <c r="C29" s="1">
        <v>2019</v>
      </c>
      <c r="D29" s="4" t="s">
        <v>155</v>
      </c>
      <c r="E29" s="5">
        <v>50.9</v>
      </c>
      <c r="F29" s="5">
        <v>21.3</v>
      </c>
      <c r="G29" s="5">
        <v>56.7</v>
      </c>
      <c r="H29" s="5">
        <v>57.2</v>
      </c>
      <c r="I29">
        <v>1.8</v>
      </c>
      <c r="J29" s="1">
        <v>1</v>
      </c>
      <c r="K29" s="1">
        <v>0.8</v>
      </c>
      <c r="L29" s="9"/>
      <c r="M29" s="9">
        <v>0.7</v>
      </c>
      <c r="N29" s="9">
        <v>7.08</v>
      </c>
      <c r="O29" s="9">
        <f>LN(365.18)</f>
        <v>5.9003903827085873</v>
      </c>
      <c r="P29" s="12">
        <v>0.7</v>
      </c>
      <c r="Q29" s="9">
        <v>16.466785801109694</v>
      </c>
      <c r="R29" s="9">
        <v>0.55555555555555558</v>
      </c>
      <c r="S29" s="9">
        <v>0.90178025839501552</v>
      </c>
    </row>
    <row r="30" spans="1:19" ht="15.6" x14ac:dyDescent="0.3">
      <c r="A30" s="1" t="s">
        <v>3</v>
      </c>
      <c r="B30" s="2" t="s">
        <v>56</v>
      </c>
      <c r="C30" s="1">
        <v>2020</v>
      </c>
      <c r="D30" s="4" t="s">
        <v>155</v>
      </c>
      <c r="E30" s="5">
        <v>62.7</v>
      </c>
      <c r="F30" s="5">
        <v>35.6</v>
      </c>
      <c r="G30" s="5">
        <v>72.2</v>
      </c>
      <c r="H30" s="5">
        <v>62.7</v>
      </c>
      <c r="I30">
        <v>1.8</v>
      </c>
      <c r="J30" s="1">
        <v>1</v>
      </c>
      <c r="K30" s="1">
        <v>0.8</v>
      </c>
      <c r="L30" s="9"/>
      <c r="M30" s="9">
        <v>0.59</v>
      </c>
      <c r="N30" s="9">
        <v>5.73</v>
      </c>
      <c r="O30" s="9">
        <f>LN(337.46)</f>
        <v>5.8214469847701915</v>
      </c>
      <c r="P30" s="12">
        <v>-0.1</v>
      </c>
      <c r="Q30" s="9">
        <v>16.496528662015166</v>
      </c>
      <c r="R30" s="9">
        <v>0.55555555555555558</v>
      </c>
      <c r="S30" s="9">
        <v>0.89694231829561055</v>
      </c>
    </row>
    <row r="31" spans="1:19" ht="15.6" x14ac:dyDescent="0.3">
      <c r="A31" s="1" t="s">
        <v>3</v>
      </c>
      <c r="B31" s="2" t="s">
        <v>56</v>
      </c>
      <c r="C31" s="1">
        <v>2021</v>
      </c>
      <c r="D31" s="4" t="s">
        <v>155</v>
      </c>
      <c r="E31" s="5">
        <v>54</v>
      </c>
      <c r="F31" s="5">
        <v>28.1</v>
      </c>
      <c r="G31" s="5">
        <v>53</v>
      </c>
      <c r="H31" s="5">
        <v>72.7</v>
      </c>
      <c r="I31">
        <v>1.4</v>
      </c>
      <c r="J31" s="1">
        <v>1</v>
      </c>
      <c r="K31" s="1">
        <v>0.4</v>
      </c>
      <c r="L31" s="9"/>
      <c r="M31" s="9">
        <v>0.93</v>
      </c>
      <c r="N31" s="9">
        <v>8.93</v>
      </c>
      <c r="O31" s="9">
        <f>LN(373.78)</f>
        <v>5.9236673890421567</v>
      </c>
      <c r="P31" s="12">
        <v>2.5</v>
      </c>
      <c r="Q31" s="9">
        <v>16.504151478399375</v>
      </c>
      <c r="R31" s="9">
        <v>0.6</v>
      </c>
      <c r="S31" s="9">
        <v>0.89625064948447719</v>
      </c>
    </row>
    <row r="32" spans="1:19" ht="15.6" x14ac:dyDescent="0.3">
      <c r="A32" s="1" t="s">
        <v>3</v>
      </c>
      <c r="B32" s="2" t="s">
        <v>56</v>
      </c>
      <c r="C32" s="1">
        <v>2022</v>
      </c>
      <c r="D32" s="4" t="s">
        <v>155</v>
      </c>
      <c r="E32" s="5">
        <v>65.7</v>
      </c>
      <c r="F32" s="5">
        <v>27.7</v>
      </c>
      <c r="G32" s="5">
        <v>63.6</v>
      </c>
      <c r="H32" s="5">
        <v>90.1</v>
      </c>
      <c r="I32">
        <v>2</v>
      </c>
      <c r="J32" s="1">
        <v>1</v>
      </c>
      <c r="K32" s="1">
        <v>1</v>
      </c>
      <c r="L32" s="9"/>
      <c r="M32" s="9">
        <v>1.02</v>
      </c>
      <c r="N32" s="9">
        <v>10.050000000000001</v>
      </c>
      <c r="O32" s="9">
        <f>LN(407.61)</f>
        <v>6.0103108349043417</v>
      </c>
      <c r="P32" s="12">
        <v>3.4</v>
      </c>
      <c r="Q32" s="9">
        <v>16.526211043956824</v>
      </c>
      <c r="R32" s="9">
        <v>0.6</v>
      </c>
      <c r="S32" s="9">
        <v>0.89825667310757373</v>
      </c>
    </row>
    <row r="33" spans="1:19" ht="15.6" x14ac:dyDescent="0.3">
      <c r="A33" s="1" t="s">
        <v>3</v>
      </c>
      <c r="B33" s="2" t="s">
        <v>56</v>
      </c>
      <c r="C33" s="1">
        <v>2023</v>
      </c>
      <c r="D33" s="4" t="s">
        <v>155</v>
      </c>
      <c r="E33" s="5">
        <v>54</v>
      </c>
      <c r="F33" s="5">
        <v>28.1</v>
      </c>
      <c r="G33" s="5">
        <v>53</v>
      </c>
      <c r="H33" s="5">
        <v>72.7</v>
      </c>
      <c r="I33">
        <v>2</v>
      </c>
      <c r="J33" s="1">
        <v>1</v>
      </c>
      <c r="K33" s="1">
        <v>1</v>
      </c>
      <c r="L33" s="9"/>
      <c r="M33" s="9">
        <v>0.9</v>
      </c>
      <c r="N33" s="9">
        <v>9.6199999999999992</v>
      </c>
      <c r="O33" s="9">
        <f>LN(399.71)</f>
        <v>5.9907392841683871</v>
      </c>
      <c r="P33" s="12">
        <v>2.5</v>
      </c>
      <c r="Q33" s="9">
        <v>16.605007956904878</v>
      </c>
      <c r="R33" s="9">
        <v>0.6</v>
      </c>
      <c r="S33" s="9">
        <v>0.90675130504271562</v>
      </c>
    </row>
    <row r="34" spans="1:19" ht="15.6" x14ac:dyDescent="0.3">
      <c r="A34" s="1" t="s">
        <v>4</v>
      </c>
      <c r="B34" s="2" t="s">
        <v>57</v>
      </c>
      <c r="C34" s="1">
        <v>2016</v>
      </c>
      <c r="D34" s="4" t="s">
        <v>155</v>
      </c>
      <c r="E34" s="5"/>
      <c r="F34" s="5"/>
      <c r="G34" s="5"/>
      <c r="H34" s="5"/>
      <c r="I34">
        <v>1.5</v>
      </c>
      <c r="J34" s="1">
        <v>0.5</v>
      </c>
      <c r="K34" s="1">
        <v>1</v>
      </c>
      <c r="L34" s="9">
        <v>0.1</v>
      </c>
      <c r="M34" s="9">
        <v>1.05</v>
      </c>
      <c r="N34" s="9">
        <v>8.2100000000000009</v>
      </c>
      <c r="O34" s="9">
        <f>LN(301.26)</f>
        <v>5.7079736792746694</v>
      </c>
      <c r="P34" s="12">
        <v>2.1</v>
      </c>
      <c r="Q34" s="9">
        <v>17.231453290627215</v>
      </c>
      <c r="R34" s="9">
        <v>0.5</v>
      </c>
      <c r="S34" s="9">
        <v>0.87272252268124584</v>
      </c>
    </row>
    <row r="35" spans="1:19" ht="15.6" x14ac:dyDescent="0.3">
      <c r="A35" s="1" t="s">
        <v>4</v>
      </c>
      <c r="B35" s="2" t="s">
        <v>57</v>
      </c>
      <c r="C35" s="1">
        <v>2017</v>
      </c>
      <c r="D35" s="4" t="s">
        <v>155</v>
      </c>
      <c r="E35" s="5"/>
      <c r="F35" s="5"/>
      <c r="G35" s="5"/>
      <c r="H35" s="5"/>
      <c r="I35">
        <v>1.5</v>
      </c>
      <c r="J35" s="1">
        <v>0.5</v>
      </c>
      <c r="K35" s="1">
        <v>1</v>
      </c>
      <c r="L35" s="9">
        <v>0.09</v>
      </c>
      <c r="M35" s="9">
        <v>0.91</v>
      </c>
      <c r="N35" s="9">
        <v>7.1</v>
      </c>
      <c r="O35" s="9">
        <f>LN(319.11)</f>
        <v>5.7655358709316831</v>
      </c>
      <c r="P35" s="9">
        <v>3.9</v>
      </c>
      <c r="Q35" s="9">
        <v>17.390718107878342</v>
      </c>
      <c r="R35" s="9">
        <v>0.5</v>
      </c>
      <c r="S35" s="9">
        <v>0.87191868361546954</v>
      </c>
    </row>
    <row r="36" spans="1:19" ht="15.6" x14ac:dyDescent="0.3">
      <c r="A36" s="1" t="s">
        <v>4</v>
      </c>
      <c r="B36" s="2" t="s">
        <v>57</v>
      </c>
      <c r="C36" s="1">
        <v>2018</v>
      </c>
      <c r="D36" s="4" t="s">
        <v>155</v>
      </c>
      <c r="E36" s="5"/>
      <c r="F36" s="5"/>
      <c r="G36" s="5"/>
      <c r="H36" s="5"/>
      <c r="I36">
        <v>1.5</v>
      </c>
      <c r="J36" s="1">
        <v>0.5</v>
      </c>
      <c r="K36" s="1">
        <v>1</v>
      </c>
      <c r="L36" s="9">
        <v>0.09</v>
      </c>
      <c r="M36" s="9">
        <v>1.01</v>
      </c>
      <c r="N36" s="9">
        <v>8.58</v>
      </c>
      <c r="O36" s="9">
        <f>LN(358.79)</f>
        <v>5.8827372591162019</v>
      </c>
      <c r="P36" s="9">
        <v>0.9</v>
      </c>
      <c r="Q36" s="9">
        <v>17.476772510542514</v>
      </c>
      <c r="R36" s="9">
        <v>0.5</v>
      </c>
      <c r="S36" s="9">
        <v>0.88229704052244107</v>
      </c>
    </row>
    <row r="37" spans="1:19" ht="15.6" x14ac:dyDescent="0.3">
      <c r="A37" s="1" t="s">
        <v>4</v>
      </c>
      <c r="B37" s="2" t="s">
        <v>57</v>
      </c>
      <c r="C37" s="1">
        <v>2019</v>
      </c>
      <c r="D37" s="4" t="s">
        <v>155</v>
      </c>
      <c r="E37" s="5"/>
      <c r="F37" s="5"/>
      <c r="G37" s="5"/>
      <c r="H37" s="5"/>
      <c r="I37">
        <v>2</v>
      </c>
      <c r="J37" s="1">
        <v>1</v>
      </c>
      <c r="K37" s="1">
        <v>1</v>
      </c>
      <c r="L37" s="9">
        <v>0.05</v>
      </c>
      <c r="M37" s="9">
        <v>0.86</v>
      </c>
      <c r="N37" s="9">
        <v>7.43</v>
      </c>
      <c r="O37" s="9">
        <f>LN(365.18)</f>
        <v>5.9003903827085873</v>
      </c>
      <c r="P37" s="12">
        <v>0.7</v>
      </c>
      <c r="Q37" s="9">
        <v>17.487413981191821</v>
      </c>
      <c r="R37" s="9">
        <v>0.5</v>
      </c>
      <c r="S37" s="9">
        <v>0.8843990429909051</v>
      </c>
    </row>
    <row r="38" spans="1:19" ht="15.6" x14ac:dyDescent="0.3">
      <c r="A38" s="1" t="s">
        <v>4</v>
      </c>
      <c r="B38" s="2" t="s">
        <v>57</v>
      </c>
      <c r="C38" s="1">
        <v>2020</v>
      </c>
      <c r="D38" s="4" t="s">
        <v>155</v>
      </c>
      <c r="E38" s="5"/>
      <c r="F38" s="5"/>
      <c r="G38" s="5"/>
      <c r="H38" s="5"/>
      <c r="I38">
        <v>2</v>
      </c>
      <c r="J38" s="1">
        <v>1</v>
      </c>
      <c r="K38" s="1">
        <v>1</v>
      </c>
      <c r="L38" s="9">
        <v>0.05</v>
      </c>
      <c r="M38" s="9">
        <v>-2.1800000000000002</v>
      </c>
      <c r="N38" s="9">
        <v>-23.81</v>
      </c>
      <c r="O38" s="9">
        <f>LN(337.46)</f>
        <v>5.8214469847701915</v>
      </c>
      <c r="P38" s="12">
        <v>-0.1</v>
      </c>
      <c r="Q38" s="9">
        <v>17.527082332734995</v>
      </c>
      <c r="R38" s="9">
        <v>0.5</v>
      </c>
      <c r="S38" s="9">
        <v>0.90838805447079984</v>
      </c>
    </row>
    <row r="39" spans="1:19" ht="15.6" x14ac:dyDescent="0.3">
      <c r="A39" s="1" t="s">
        <v>4</v>
      </c>
      <c r="B39" s="2" t="s">
        <v>57</v>
      </c>
      <c r="C39" s="1">
        <v>2021</v>
      </c>
      <c r="D39" s="4" t="s">
        <v>155</v>
      </c>
      <c r="E39" s="5">
        <v>77.099999999999994</v>
      </c>
      <c r="F39" s="5">
        <v>67.599999999999994</v>
      </c>
      <c r="G39" s="5">
        <v>83.3</v>
      </c>
      <c r="H39" s="5">
        <v>83.5</v>
      </c>
      <c r="I39">
        <v>2</v>
      </c>
      <c r="J39" s="1">
        <v>1</v>
      </c>
      <c r="K39" s="1">
        <v>1</v>
      </c>
      <c r="L39" s="9">
        <v>7.0000000000000007E-2</v>
      </c>
      <c r="M39" s="9">
        <v>0.91</v>
      </c>
      <c r="N39" s="9">
        <v>8.8800000000000008</v>
      </c>
      <c r="O39" s="9">
        <f>LN(373.78)</f>
        <v>5.9236673890421567</v>
      </c>
      <c r="P39" s="12">
        <v>2.5</v>
      </c>
      <c r="Q39" s="9">
        <v>17.543453501334</v>
      </c>
      <c r="R39" s="9">
        <v>0.45454545454545453</v>
      </c>
      <c r="S39" s="9">
        <v>0.89729493530954141</v>
      </c>
    </row>
    <row r="40" spans="1:19" ht="15.6" x14ac:dyDescent="0.3">
      <c r="A40" s="1" t="s">
        <v>4</v>
      </c>
      <c r="B40" s="2" t="s">
        <v>57</v>
      </c>
      <c r="C40" s="1">
        <v>2022</v>
      </c>
      <c r="D40" s="4" t="s">
        <v>155</v>
      </c>
      <c r="E40" s="5">
        <v>75.3</v>
      </c>
      <c r="F40" s="5">
        <v>64.7</v>
      </c>
      <c r="G40" s="5">
        <v>80.8</v>
      </c>
      <c r="H40" s="5">
        <v>81.900000000000006</v>
      </c>
      <c r="I40">
        <v>2</v>
      </c>
      <c r="J40" s="1">
        <v>1</v>
      </c>
      <c r="K40" s="1">
        <v>1</v>
      </c>
      <c r="L40" s="9">
        <v>0.06</v>
      </c>
      <c r="M40" s="9">
        <v>0.84</v>
      </c>
      <c r="N40" s="9">
        <v>9.15</v>
      </c>
      <c r="O40" s="9">
        <f>LN(407.61)</f>
        <v>6.0103108349043417</v>
      </c>
      <c r="P40" s="12">
        <v>3.4</v>
      </c>
      <c r="Q40" s="9">
        <v>17.617246443033537</v>
      </c>
      <c r="R40" s="9">
        <v>0.45454545454545453</v>
      </c>
      <c r="S40" s="9">
        <v>0.90870068832498774</v>
      </c>
    </row>
    <row r="41" spans="1:19" ht="15.6" x14ac:dyDescent="0.3">
      <c r="A41" s="1" t="s">
        <v>4</v>
      </c>
      <c r="B41" s="2" t="s">
        <v>57</v>
      </c>
      <c r="C41" s="1">
        <v>2023</v>
      </c>
      <c r="D41" s="4" t="s">
        <v>155</v>
      </c>
      <c r="E41" s="5">
        <v>77.099999999999994</v>
      </c>
      <c r="F41" s="5">
        <v>67.599999999999994</v>
      </c>
      <c r="G41" s="5">
        <v>83.3</v>
      </c>
      <c r="H41" s="5">
        <v>83.5</v>
      </c>
      <c r="I41">
        <v>2</v>
      </c>
      <c r="J41" s="1">
        <v>1</v>
      </c>
      <c r="K41" s="1">
        <v>1</v>
      </c>
      <c r="L41" s="9">
        <v>7.0000000000000007E-2</v>
      </c>
      <c r="M41" s="9">
        <v>0.96</v>
      </c>
      <c r="N41" s="9">
        <v>9.74</v>
      </c>
      <c r="O41" s="9">
        <f>LN(399.71)</f>
        <v>5.9907392841683871</v>
      </c>
      <c r="P41" s="12">
        <v>2.5</v>
      </c>
      <c r="Q41" s="9">
        <v>17.543906306543033</v>
      </c>
      <c r="R41" s="9">
        <v>0.45454545454545453</v>
      </c>
      <c r="S41" s="9">
        <v>0.9011919985769592</v>
      </c>
    </row>
    <row r="42" spans="1:19" ht="15.6" x14ac:dyDescent="0.3">
      <c r="A42" s="1" t="s">
        <v>5</v>
      </c>
      <c r="B42" s="2" t="s">
        <v>58</v>
      </c>
      <c r="C42" s="1">
        <v>2016</v>
      </c>
      <c r="D42" s="4" t="s">
        <v>156</v>
      </c>
      <c r="E42" s="5"/>
      <c r="F42" s="5"/>
      <c r="G42" s="5"/>
      <c r="H42" s="5"/>
      <c r="I42">
        <v>0.5</v>
      </c>
      <c r="J42" s="1">
        <v>0.5</v>
      </c>
      <c r="K42" s="1">
        <v>0</v>
      </c>
      <c r="L42" s="9">
        <v>0.6</v>
      </c>
      <c r="M42" s="9">
        <v>0.71</v>
      </c>
      <c r="N42" s="9">
        <v>1.76</v>
      </c>
      <c r="O42" s="9">
        <f>LN(301.26)</f>
        <v>5.7079736792746694</v>
      </c>
      <c r="P42" s="12">
        <v>2.1</v>
      </c>
      <c r="Q42" s="9">
        <v>16.573744111029114</v>
      </c>
      <c r="R42" s="9">
        <v>0.1111111111111111</v>
      </c>
      <c r="S42" s="9">
        <v>0.59552105071545336</v>
      </c>
    </row>
    <row r="43" spans="1:19" ht="15.6" x14ac:dyDescent="0.3">
      <c r="A43" s="1" t="s">
        <v>5</v>
      </c>
      <c r="B43" s="2" t="s">
        <v>58</v>
      </c>
      <c r="C43" s="1">
        <v>2017</v>
      </c>
      <c r="D43" s="4" t="s">
        <v>156</v>
      </c>
      <c r="E43" s="5"/>
      <c r="F43" s="5"/>
      <c r="G43" s="5"/>
      <c r="H43" s="5"/>
      <c r="I43">
        <v>0.9</v>
      </c>
      <c r="J43" s="1">
        <v>0.5</v>
      </c>
      <c r="K43" s="1">
        <v>0.4</v>
      </c>
      <c r="L43" s="9">
        <v>0.71</v>
      </c>
      <c r="M43" s="9">
        <v>1.3</v>
      </c>
      <c r="N43" s="9">
        <v>2.98</v>
      </c>
      <c r="O43" s="9">
        <f>LN(319.11)</f>
        <v>5.7655358709316831</v>
      </c>
      <c r="P43" s="9">
        <v>3.9</v>
      </c>
      <c r="Q43" s="9">
        <v>16.66105799399902</v>
      </c>
      <c r="R43" s="9">
        <v>0.10526315789473684</v>
      </c>
      <c r="S43" s="9">
        <v>0.56366546979491805</v>
      </c>
    </row>
    <row r="44" spans="1:19" ht="15.6" x14ac:dyDescent="0.3">
      <c r="A44" s="1" t="s">
        <v>5</v>
      </c>
      <c r="B44" s="2" t="s">
        <v>58</v>
      </c>
      <c r="C44" s="1">
        <v>2018</v>
      </c>
      <c r="D44" s="4" t="s">
        <v>156</v>
      </c>
      <c r="E44" s="5"/>
      <c r="F44" s="5"/>
      <c r="G44" s="5"/>
      <c r="H44" s="5"/>
      <c r="I44">
        <v>1.1000000000000001</v>
      </c>
      <c r="J44" s="1">
        <v>0.5</v>
      </c>
      <c r="K44" s="1">
        <v>0.6</v>
      </c>
      <c r="L44" s="9">
        <v>0.56000000000000005</v>
      </c>
      <c r="M44" s="9">
        <v>-7.46</v>
      </c>
      <c r="N44" s="9">
        <v>-20.51</v>
      </c>
      <c r="O44" s="9">
        <f>LN(358.79)</f>
        <v>5.8827372591162019</v>
      </c>
      <c r="P44" s="9">
        <v>0.9</v>
      </c>
      <c r="Q44" s="9">
        <v>16.551792467516243</v>
      </c>
      <c r="R44" s="9">
        <v>0.15</v>
      </c>
      <c r="S44" s="9">
        <v>0.63644671800983954</v>
      </c>
    </row>
    <row r="45" spans="1:19" ht="15.6" x14ac:dyDescent="0.3">
      <c r="A45" s="1" t="s">
        <v>5</v>
      </c>
      <c r="B45" s="2" t="s">
        <v>58</v>
      </c>
      <c r="C45" s="1">
        <v>2019</v>
      </c>
      <c r="D45" s="4" t="s">
        <v>156</v>
      </c>
      <c r="E45" s="5"/>
      <c r="F45" s="5"/>
      <c r="G45" s="5"/>
      <c r="H45" s="5"/>
      <c r="I45">
        <v>2</v>
      </c>
      <c r="J45" s="1">
        <v>1</v>
      </c>
      <c r="K45" s="1">
        <v>1</v>
      </c>
      <c r="L45" s="9">
        <v>0.56999999999999995</v>
      </c>
      <c r="M45" s="9">
        <v>2.19</v>
      </c>
      <c r="N45" s="9">
        <v>6.56</v>
      </c>
      <c r="O45" s="9">
        <f>LN(365.18)</f>
        <v>5.9003903827085873</v>
      </c>
      <c r="P45" s="12">
        <v>0.7</v>
      </c>
      <c r="Q45" s="9">
        <v>16.604064652685125</v>
      </c>
      <c r="R45" s="9">
        <v>0.14285714285714285</v>
      </c>
      <c r="S45" s="9">
        <v>0.66603405592103482</v>
      </c>
    </row>
    <row r="46" spans="1:19" ht="15.6" x14ac:dyDescent="0.3">
      <c r="A46" s="1" t="s">
        <v>5</v>
      </c>
      <c r="B46" s="2" t="s">
        <v>58</v>
      </c>
      <c r="C46" s="1">
        <v>2020</v>
      </c>
      <c r="D46" s="4" t="s">
        <v>156</v>
      </c>
      <c r="E46" s="5"/>
      <c r="F46" s="5"/>
      <c r="G46" s="5"/>
      <c r="H46" s="5"/>
      <c r="I46">
        <v>1.8</v>
      </c>
      <c r="J46" s="1">
        <v>1</v>
      </c>
      <c r="K46" s="1">
        <v>0.8</v>
      </c>
      <c r="L46" s="9">
        <v>0.51</v>
      </c>
      <c r="M46" s="9">
        <v>0.54</v>
      </c>
      <c r="N46" s="9">
        <v>1.53</v>
      </c>
      <c r="O46" s="9">
        <f>LN(337.46)</f>
        <v>5.8214469847701915</v>
      </c>
      <c r="P46" s="12">
        <v>-0.1</v>
      </c>
      <c r="Q46" s="9">
        <v>16.644916545581705</v>
      </c>
      <c r="R46" s="9">
        <v>0.22727272727272727</v>
      </c>
      <c r="S46" s="9">
        <v>0.64863423936065745</v>
      </c>
    </row>
    <row r="47" spans="1:19" ht="15.6" x14ac:dyDescent="0.3">
      <c r="A47" s="1" t="s">
        <v>5</v>
      </c>
      <c r="B47" s="2" t="s">
        <v>58</v>
      </c>
      <c r="C47" s="1">
        <v>2021</v>
      </c>
      <c r="D47" s="4" t="s">
        <v>156</v>
      </c>
      <c r="E47" s="5">
        <v>74.5</v>
      </c>
      <c r="F47" s="5">
        <v>69.2</v>
      </c>
      <c r="G47" s="5">
        <v>69.3</v>
      </c>
      <c r="H47" s="5">
        <v>89</v>
      </c>
      <c r="I47">
        <v>2</v>
      </c>
      <c r="J47" s="1">
        <v>1</v>
      </c>
      <c r="K47" s="1">
        <v>1</v>
      </c>
      <c r="L47" s="9">
        <v>0.53</v>
      </c>
      <c r="M47" s="9">
        <v>1.1299999999999999</v>
      </c>
      <c r="N47" s="9">
        <v>3.27</v>
      </c>
      <c r="O47" s="9">
        <f>LN(373.78)</f>
        <v>5.9236673890421567</v>
      </c>
      <c r="P47" s="12">
        <v>2.5</v>
      </c>
      <c r="Q47" s="9">
        <v>16.670438598647038</v>
      </c>
      <c r="R47" s="9">
        <v>0.22727272727272727</v>
      </c>
      <c r="S47" s="9">
        <v>0.65450472616221766</v>
      </c>
    </row>
    <row r="48" spans="1:19" ht="15.6" x14ac:dyDescent="0.3">
      <c r="A48" s="1" t="s">
        <v>5</v>
      </c>
      <c r="B48" s="2" t="s">
        <v>58</v>
      </c>
      <c r="C48" s="1">
        <v>2022</v>
      </c>
      <c r="D48" s="4" t="s">
        <v>156</v>
      </c>
      <c r="E48" s="5">
        <v>72</v>
      </c>
      <c r="F48" s="5">
        <v>65.7</v>
      </c>
      <c r="G48" s="5">
        <v>68.2</v>
      </c>
      <c r="H48" s="5">
        <v>84.3</v>
      </c>
      <c r="I48">
        <v>2</v>
      </c>
      <c r="J48" s="1">
        <v>1</v>
      </c>
      <c r="K48" s="1">
        <v>1</v>
      </c>
      <c r="L48" s="9">
        <v>0.35</v>
      </c>
      <c r="M48" s="9">
        <v>11.94</v>
      </c>
      <c r="N48" s="9">
        <v>31.78</v>
      </c>
      <c r="O48" s="9">
        <f>LN(407.61)</f>
        <v>6.0103108349043417</v>
      </c>
      <c r="P48" s="12">
        <v>3.4</v>
      </c>
      <c r="Q48" s="9">
        <v>16.733284154909313</v>
      </c>
      <c r="R48" s="9">
        <v>0.25</v>
      </c>
      <c r="S48" s="9">
        <v>0.62420291444570453</v>
      </c>
    </row>
    <row r="49" spans="1:19" ht="15.6" x14ac:dyDescent="0.3">
      <c r="A49" s="1" t="s">
        <v>5</v>
      </c>
      <c r="B49" s="2" t="s">
        <v>58</v>
      </c>
      <c r="C49" s="1">
        <v>2023</v>
      </c>
      <c r="D49" s="4" t="s">
        <v>156</v>
      </c>
      <c r="E49" s="5">
        <v>74.5</v>
      </c>
      <c r="F49" s="5">
        <v>69.2</v>
      </c>
      <c r="G49" s="5">
        <v>69.3</v>
      </c>
      <c r="H49" s="5">
        <v>89</v>
      </c>
      <c r="I49">
        <v>2</v>
      </c>
      <c r="J49" s="1">
        <v>1</v>
      </c>
      <c r="K49" s="1">
        <v>1</v>
      </c>
      <c r="L49" s="9">
        <v>0.28000000000000003</v>
      </c>
      <c r="M49" s="9">
        <v>-2.54</v>
      </c>
      <c r="N49" s="9">
        <v>-7.07</v>
      </c>
      <c r="O49" s="9">
        <f>LN(399.71)</f>
        <v>5.9907392841683871</v>
      </c>
      <c r="P49" s="12">
        <v>2.5</v>
      </c>
      <c r="Q49" s="9">
        <v>16.653354458543998</v>
      </c>
      <c r="R49" s="9">
        <v>0.25</v>
      </c>
      <c r="S49" s="9">
        <v>0.63993739175972786</v>
      </c>
    </row>
    <row r="50" spans="1:19" ht="15.6" x14ac:dyDescent="0.3">
      <c r="A50" s="1" t="s">
        <v>6</v>
      </c>
      <c r="B50" s="2" t="s">
        <v>59</v>
      </c>
      <c r="C50" s="1">
        <v>2016</v>
      </c>
      <c r="D50" s="4" t="s">
        <v>157</v>
      </c>
      <c r="E50" s="5"/>
      <c r="F50" s="5"/>
      <c r="G50" s="5"/>
      <c r="H50" s="5"/>
      <c r="I50">
        <v>0.7</v>
      </c>
      <c r="J50" s="1">
        <v>0.5</v>
      </c>
      <c r="K50" s="1">
        <v>0.2</v>
      </c>
      <c r="L50" s="9">
        <v>0.79</v>
      </c>
      <c r="M50" s="9">
        <v>5.45</v>
      </c>
      <c r="N50" s="9">
        <v>8.7799999999999994</v>
      </c>
      <c r="O50" s="9">
        <f>LN(301.26)</f>
        <v>5.7079736792746694</v>
      </c>
      <c r="P50" s="12">
        <v>2.1</v>
      </c>
      <c r="Q50" s="9">
        <v>13.122931216153386</v>
      </c>
      <c r="R50" s="9">
        <v>0.5714285714285714</v>
      </c>
      <c r="S50" s="9">
        <v>0.37932254479455668</v>
      </c>
    </row>
    <row r="51" spans="1:19" ht="15.6" x14ac:dyDescent="0.3">
      <c r="A51" s="1" t="s">
        <v>6</v>
      </c>
      <c r="B51" s="2" t="s">
        <v>59</v>
      </c>
      <c r="C51" s="1">
        <v>2017</v>
      </c>
      <c r="D51" s="4" t="s">
        <v>157</v>
      </c>
      <c r="E51" s="5"/>
      <c r="F51" s="5"/>
      <c r="G51" s="5"/>
      <c r="H51" s="5"/>
      <c r="I51">
        <v>0.9</v>
      </c>
      <c r="J51" s="1">
        <v>0.5</v>
      </c>
      <c r="K51" s="1">
        <v>0.4</v>
      </c>
      <c r="L51" s="9">
        <v>0.73</v>
      </c>
      <c r="M51" s="9">
        <v>4.8099999999999996</v>
      </c>
      <c r="N51" s="9">
        <v>7.7</v>
      </c>
      <c r="O51" s="9">
        <f>LN(319.11)</f>
        <v>5.7655358709316831</v>
      </c>
      <c r="P51" s="9">
        <v>3.9</v>
      </c>
      <c r="Q51" s="9">
        <v>13.34977460920174</v>
      </c>
      <c r="R51" s="9">
        <v>0.5714285714285714</v>
      </c>
      <c r="S51" s="9">
        <v>0.37592982333157554</v>
      </c>
    </row>
    <row r="52" spans="1:19" ht="15.6" x14ac:dyDescent="0.3">
      <c r="A52" s="1" t="s">
        <v>6</v>
      </c>
      <c r="B52" s="2" t="s">
        <v>59</v>
      </c>
      <c r="C52" s="1">
        <v>2018</v>
      </c>
      <c r="D52" s="4" t="s">
        <v>157</v>
      </c>
      <c r="E52" s="5"/>
      <c r="F52" s="5"/>
      <c r="G52" s="5"/>
      <c r="H52" s="5"/>
      <c r="I52">
        <v>1.4</v>
      </c>
      <c r="J52" s="1">
        <v>1</v>
      </c>
      <c r="K52" s="1">
        <v>0.4</v>
      </c>
      <c r="L52" s="9">
        <v>0.68</v>
      </c>
      <c r="M52" s="9">
        <v>5.46</v>
      </c>
      <c r="N52" s="9">
        <v>9.31</v>
      </c>
      <c r="O52" s="9">
        <f>LN(358.79)</f>
        <v>5.8827372591162019</v>
      </c>
      <c r="P52" s="9">
        <v>0.9</v>
      </c>
      <c r="Q52" s="9">
        <v>13.439144437661334</v>
      </c>
      <c r="R52" s="9">
        <v>0.5</v>
      </c>
      <c r="S52" s="9">
        <v>0.41415106847662492</v>
      </c>
    </row>
    <row r="53" spans="1:19" ht="15.6" x14ac:dyDescent="0.3">
      <c r="A53" s="1" t="s">
        <v>6</v>
      </c>
      <c r="B53" s="2" t="s">
        <v>59</v>
      </c>
      <c r="C53" s="1">
        <v>2019</v>
      </c>
      <c r="D53" s="4" t="s">
        <v>157</v>
      </c>
      <c r="E53" s="5"/>
      <c r="F53" s="5"/>
      <c r="G53" s="5"/>
      <c r="H53" s="5"/>
      <c r="I53">
        <v>1.6</v>
      </c>
      <c r="J53" s="1">
        <v>1</v>
      </c>
      <c r="K53" s="1">
        <v>0.6</v>
      </c>
      <c r="L53" s="9">
        <v>0.82</v>
      </c>
      <c r="M53" s="9">
        <v>6.78</v>
      </c>
      <c r="N53" s="9">
        <v>10.07</v>
      </c>
      <c r="O53" s="9">
        <f>LN(365.18)</f>
        <v>5.9003903827085873</v>
      </c>
      <c r="P53" s="12">
        <v>0.7</v>
      </c>
      <c r="Q53" s="9">
        <v>13.533126426605792</v>
      </c>
      <c r="R53" s="9">
        <v>0.5</v>
      </c>
      <c r="S53" s="9">
        <v>0.32631992190815723</v>
      </c>
    </row>
    <row r="54" spans="1:19" ht="15.6" x14ac:dyDescent="0.3">
      <c r="A54" s="1" t="s">
        <v>6</v>
      </c>
      <c r="B54" s="2" t="s">
        <v>59</v>
      </c>
      <c r="C54" s="1">
        <v>2020</v>
      </c>
      <c r="D54" s="4" t="s">
        <v>157</v>
      </c>
      <c r="E54" s="5"/>
      <c r="F54" s="5"/>
      <c r="G54" s="5"/>
      <c r="H54" s="5"/>
      <c r="I54">
        <v>1.8</v>
      </c>
      <c r="J54" s="1">
        <v>1</v>
      </c>
      <c r="K54" s="1">
        <v>0.8</v>
      </c>
      <c r="L54" s="9">
        <v>0.87</v>
      </c>
      <c r="M54" s="9">
        <v>4.22</v>
      </c>
      <c r="N54" s="9">
        <v>6.69</v>
      </c>
      <c r="O54" s="9">
        <f>LN(337.46)</f>
        <v>5.8214469847701915</v>
      </c>
      <c r="P54" s="12">
        <v>-0.1</v>
      </c>
      <c r="Q54" s="9">
        <v>13.639126539053072</v>
      </c>
      <c r="R54" s="9">
        <v>0.5</v>
      </c>
      <c r="S54" s="9">
        <v>0.36892100165096814</v>
      </c>
    </row>
    <row r="55" spans="1:19" ht="15.6" x14ac:dyDescent="0.3">
      <c r="A55" s="1" t="s">
        <v>6</v>
      </c>
      <c r="B55" s="2" t="s">
        <v>59</v>
      </c>
      <c r="C55" s="1">
        <v>2021</v>
      </c>
      <c r="D55" s="4" t="s">
        <v>157</v>
      </c>
      <c r="E55" s="5">
        <v>41</v>
      </c>
      <c r="F55" s="5">
        <v>61.4</v>
      </c>
      <c r="G55" s="5">
        <v>34</v>
      </c>
      <c r="H55" s="5">
        <v>23.7</v>
      </c>
      <c r="I55">
        <v>1.8</v>
      </c>
      <c r="J55" s="1">
        <v>1</v>
      </c>
      <c r="K55" s="1">
        <v>0.8</v>
      </c>
      <c r="L55" s="9">
        <v>0.83</v>
      </c>
      <c r="M55" s="9">
        <v>5.22</v>
      </c>
      <c r="N55" s="9">
        <v>7.93</v>
      </c>
      <c r="O55" s="9">
        <f>LN(373.78)</f>
        <v>5.9236673890421567</v>
      </c>
      <c r="P55" s="12">
        <v>2.5</v>
      </c>
      <c r="Q55" s="9">
        <v>13.73130578423107</v>
      </c>
      <c r="R55" s="9">
        <v>0.5</v>
      </c>
      <c r="S55" s="9">
        <v>0.34163110298365068</v>
      </c>
    </row>
    <row r="56" spans="1:19" ht="15.6" x14ac:dyDescent="0.3">
      <c r="A56" s="1" t="s">
        <v>6</v>
      </c>
      <c r="B56" s="2" t="s">
        <v>59</v>
      </c>
      <c r="C56" s="1">
        <v>2022</v>
      </c>
      <c r="D56" s="4" t="s">
        <v>157</v>
      </c>
      <c r="E56" s="5">
        <v>56.7</v>
      </c>
      <c r="F56" s="5">
        <v>72.599999999999994</v>
      </c>
      <c r="G56" s="5">
        <v>35.6</v>
      </c>
      <c r="H56" s="5">
        <v>58</v>
      </c>
      <c r="I56">
        <v>1.8</v>
      </c>
      <c r="J56" s="1">
        <v>1</v>
      </c>
      <c r="K56" s="1">
        <v>0.8</v>
      </c>
      <c r="L56" s="9">
        <v>0.69</v>
      </c>
      <c r="M56" s="9">
        <v>4.47</v>
      </c>
      <c r="N56" s="9">
        <v>7.4</v>
      </c>
      <c r="O56" s="9">
        <f>LN(407.61)</f>
        <v>6.0103108349043417</v>
      </c>
      <c r="P56" s="12">
        <v>3.4</v>
      </c>
      <c r="Q56" s="9">
        <v>13.779208541269499</v>
      </c>
      <c r="R56" s="9">
        <v>0.5</v>
      </c>
      <c r="S56" s="9">
        <v>0.39566795838436086</v>
      </c>
    </row>
    <row r="57" spans="1:19" ht="15.6" x14ac:dyDescent="0.3">
      <c r="A57" s="1" t="s">
        <v>6</v>
      </c>
      <c r="B57" s="2" t="s">
        <v>59</v>
      </c>
      <c r="C57" s="1">
        <v>2023</v>
      </c>
      <c r="D57" s="4" t="s">
        <v>157</v>
      </c>
      <c r="E57" s="5"/>
      <c r="F57" s="5"/>
      <c r="G57" s="5"/>
      <c r="H57" s="5"/>
      <c r="I57">
        <v>1.8</v>
      </c>
      <c r="J57" s="1">
        <v>1</v>
      </c>
      <c r="K57" s="1">
        <v>0.8</v>
      </c>
      <c r="L57" s="9">
        <v>0.69</v>
      </c>
      <c r="M57" s="9">
        <v>4.82</v>
      </c>
      <c r="N57" s="9">
        <v>7.71</v>
      </c>
      <c r="O57" s="9">
        <f>LN(399.71)</f>
        <v>5.9907392841683871</v>
      </c>
      <c r="P57" s="12">
        <v>2.5</v>
      </c>
      <c r="Q57" s="9">
        <v>13.800455801669406</v>
      </c>
      <c r="R57" s="9">
        <v>0.5</v>
      </c>
      <c r="S57" s="9">
        <v>0.37517790830590686</v>
      </c>
    </row>
    <row r="58" spans="1:19" ht="15.6" x14ac:dyDescent="0.3">
      <c r="A58" s="13" t="s">
        <v>7</v>
      </c>
      <c r="B58" s="2" t="s">
        <v>60</v>
      </c>
      <c r="C58" s="1">
        <v>2016</v>
      </c>
      <c r="D58" s="4" t="s">
        <v>155</v>
      </c>
      <c r="E58" s="5"/>
      <c r="F58" s="5"/>
      <c r="G58" s="5"/>
      <c r="H58" s="5"/>
      <c r="I58">
        <v>0.9</v>
      </c>
      <c r="J58" s="1">
        <v>0.5</v>
      </c>
      <c r="K58" s="1">
        <v>0.4</v>
      </c>
      <c r="L58" s="9"/>
      <c r="M58" s="9">
        <v>0.95</v>
      </c>
      <c r="N58" s="9">
        <v>12.11</v>
      </c>
      <c r="O58" s="9">
        <f>LN(301.26)</f>
        <v>5.7079736792746694</v>
      </c>
      <c r="P58" s="12">
        <v>2.1</v>
      </c>
      <c r="Q58" s="9">
        <v>16.334110815586911</v>
      </c>
      <c r="R58" s="9">
        <v>0.55555555555555558</v>
      </c>
      <c r="S58" s="9">
        <v>0.92123339767300727</v>
      </c>
    </row>
    <row r="59" spans="1:19" ht="15.6" x14ac:dyDescent="0.3">
      <c r="A59" s="13" t="s">
        <v>7</v>
      </c>
      <c r="B59" s="2" t="s">
        <v>60</v>
      </c>
      <c r="C59" s="1">
        <v>2017</v>
      </c>
      <c r="D59" s="4" t="s">
        <v>155</v>
      </c>
      <c r="E59" s="5"/>
      <c r="F59" s="5"/>
      <c r="G59" s="5"/>
      <c r="H59" s="5"/>
      <c r="I59">
        <v>1.8</v>
      </c>
      <c r="J59" s="1">
        <v>1</v>
      </c>
      <c r="K59" s="1">
        <v>0.8</v>
      </c>
      <c r="L59" s="9"/>
      <c r="M59" s="9">
        <v>0.98</v>
      </c>
      <c r="N59" s="9">
        <v>11.41</v>
      </c>
      <c r="O59" s="9">
        <f>LN(319.11)</f>
        <v>5.7655358709316831</v>
      </c>
      <c r="P59" s="9">
        <v>3.9</v>
      </c>
      <c r="Q59" s="9">
        <v>16.469835738498126</v>
      </c>
      <c r="R59" s="9">
        <v>0.55555555555555558</v>
      </c>
      <c r="S59" s="9">
        <v>0.91410710504601</v>
      </c>
    </row>
    <row r="60" spans="1:19" ht="15.6" x14ac:dyDescent="0.3">
      <c r="A60" s="13" t="s">
        <v>7</v>
      </c>
      <c r="B60" s="2" t="s">
        <v>60</v>
      </c>
      <c r="C60" s="1">
        <v>2018</v>
      </c>
      <c r="D60" s="4" t="s">
        <v>155</v>
      </c>
      <c r="E60" s="5"/>
      <c r="F60" s="5"/>
      <c r="G60" s="5"/>
      <c r="H60" s="5"/>
      <c r="I60">
        <v>1.1000000000000001</v>
      </c>
      <c r="J60" s="1">
        <v>0.5</v>
      </c>
      <c r="K60" s="1">
        <v>0.6</v>
      </c>
      <c r="L60" s="9"/>
      <c r="M60" s="9">
        <v>0.93</v>
      </c>
      <c r="N60" s="9">
        <v>11.26</v>
      </c>
      <c r="O60" s="9">
        <f>LN(358.79)</f>
        <v>5.8827372591162019</v>
      </c>
      <c r="P60" s="9">
        <v>0.9</v>
      </c>
      <c r="Q60" s="9">
        <v>16.553102473783397</v>
      </c>
      <c r="R60" s="9">
        <v>0.55555555555555558</v>
      </c>
      <c r="S60" s="9">
        <v>0.9174771659528681</v>
      </c>
    </row>
    <row r="61" spans="1:19" ht="15.6" x14ac:dyDescent="0.3">
      <c r="A61" s="13" t="s">
        <v>7</v>
      </c>
      <c r="B61" s="2" t="s">
        <v>60</v>
      </c>
      <c r="C61" s="1">
        <v>2019</v>
      </c>
      <c r="D61" s="4" t="s">
        <v>155</v>
      </c>
      <c r="E61" s="5"/>
      <c r="F61" s="5"/>
      <c r="G61" s="5"/>
      <c r="H61" s="5"/>
      <c r="I61">
        <v>1.1000000000000001</v>
      </c>
      <c r="J61" s="1">
        <v>0.5</v>
      </c>
      <c r="K61" s="1">
        <v>0.6</v>
      </c>
      <c r="L61" s="9"/>
      <c r="M61" s="9">
        <v>0.93</v>
      </c>
      <c r="N61" s="9">
        <v>10.98</v>
      </c>
      <c r="O61" s="9">
        <f>LN(365.18)</f>
        <v>5.9003903827085873</v>
      </c>
      <c r="P61" s="12">
        <v>0.7</v>
      </c>
      <c r="Q61" s="9">
        <v>16.619870802476918</v>
      </c>
      <c r="R61" s="9">
        <v>0.6</v>
      </c>
      <c r="S61" s="9">
        <v>0.91545893544312584</v>
      </c>
    </row>
    <row r="62" spans="1:19" ht="15.6" x14ac:dyDescent="0.3">
      <c r="A62" s="13" t="s">
        <v>7</v>
      </c>
      <c r="B62" s="2" t="s">
        <v>60</v>
      </c>
      <c r="C62" s="1">
        <v>2020</v>
      </c>
      <c r="D62" s="4" t="s">
        <v>155</v>
      </c>
      <c r="E62" s="5"/>
      <c r="F62" s="5"/>
      <c r="G62" s="5"/>
      <c r="H62" s="5"/>
      <c r="I62">
        <v>0.7</v>
      </c>
      <c r="J62" s="1">
        <v>0.5</v>
      </c>
      <c r="K62" s="1">
        <v>0.2</v>
      </c>
      <c r="L62" s="9"/>
      <c r="M62" s="9">
        <v>0.76</v>
      </c>
      <c r="N62" s="9">
        <v>8.99</v>
      </c>
      <c r="O62" s="9">
        <f>LN(337.46)</f>
        <v>5.8214469847701915</v>
      </c>
      <c r="P62" s="12">
        <v>-0.1</v>
      </c>
      <c r="Q62" s="9">
        <v>16.738608158142096</v>
      </c>
      <c r="R62" s="9">
        <v>0.63636363636363635</v>
      </c>
      <c r="S62" s="9">
        <v>0.9157831065535913</v>
      </c>
    </row>
    <row r="63" spans="1:19" ht="15.6" x14ac:dyDescent="0.3">
      <c r="A63" s="13" t="s">
        <v>7</v>
      </c>
      <c r="B63" s="2" t="s">
        <v>60</v>
      </c>
      <c r="C63" s="1">
        <v>2021</v>
      </c>
      <c r="D63" s="4" t="s">
        <v>155</v>
      </c>
      <c r="E63" s="5"/>
      <c r="F63" s="5"/>
      <c r="G63" s="5"/>
      <c r="H63" s="5"/>
      <c r="I63">
        <v>1.3</v>
      </c>
      <c r="J63" s="1">
        <v>0.5</v>
      </c>
      <c r="K63" s="1">
        <v>0.8</v>
      </c>
      <c r="L63" s="9"/>
      <c r="M63" s="9">
        <v>0.67</v>
      </c>
      <c r="N63" s="9">
        <v>8.35</v>
      </c>
      <c r="O63" s="9">
        <f>LN(373.78)</f>
        <v>5.9236673890421567</v>
      </c>
      <c r="P63" s="12">
        <v>2.5</v>
      </c>
      <c r="Q63" s="9">
        <v>16.77013407713633</v>
      </c>
      <c r="R63" s="9">
        <v>0.63636363636363635</v>
      </c>
      <c r="S63" s="9">
        <v>0.92015669075951201</v>
      </c>
    </row>
    <row r="64" spans="1:19" ht="15.6" x14ac:dyDescent="0.3">
      <c r="A64" s="13" t="s">
        <v>7</v>
      </c>
      <c r="B64" s="2" t="s">
        <v>60</v>
      </c>
      <c r="C64" s="1">
        <v>2022</v>
      </c>
      <c r="D64" s="4" t="s">
        <v>155</v>
      </c>
      <c r="E64" s="5"/>
      <c r="F64" s="5"/>
      <c r="G64" s="5"/>
      <c r="H64" s="5"/>
      <c r="I64">
        <v>1.5</v>
      </c>
      <c r="J64" s="1">
        <v>0.5</v>
      </c>
      <c r="K64" s="1">
        <v>1</v>
      </c>
      <c r="L64" s="9"/>
      <c r="M64" s="9">
        <v>0.55000000000000004</v>
      </c>
      <c r="N64" s="9">
        <v>7.23</v>
      </c>
      <c r="O64" s="9">
        <f>LN(407.61)</f>
        <v>6.0103108349043417</v>
      </c>
      <c r="P64" s="12">
        <v>3.4</v>
      </c>
      <c r="Q64" s="9">
        <v>16.829116049681534</v>
      </c>
      <c r="R64" s="9">
        <v>0.66666666666666663</v>
      </c>
      <c r="S64" s="9">
        <v>0.92436155613285564</v>
      </c>
    </row>
    <row r="65" spans="1:19" ht="15.6" x14ac:dyDescent="0.3">
      <c r="A65" s="13" t="s">
        <v>7</v>
      </c>
      <c r="B65" s="2" t="s">
        <v>60</v>
      </c>
      <c r="C65" s="1">
        <v>2023</v>
      </c>
      <c r="D65" s="4" t="s">
        <v>155</v>
      </c>
      <c r="E65" s="5"/>
      <c r="F65" s="5"/>
      <c r="G65" s="5"/>
      <c r="H65" s="5"/>
      <c r="I65">
        <v>1.3</v>
      </c>
      <c r="J65" s="1">
        <v>0.5</v>
      </c>
      <c r="K65" s="1">
        <v>0.8</v>
      </c>
      <c r="L65" s="9"/>
      <c r="M65" s="9">
        <v>0.61</v>
      </c>
      <c r="N65" s="9">
        <v>7.47</v>
      </c>
      <c r="O65" s="9">
        <f>LN(399.71)</f>
        <v>5.9907392841683871</v>
      </c>
      <c r="P65" s="12">
        <v>2.5</v>
      </c>
      <c r="Q65" s="9">
        <v>16.80174421212811</v>
      </c>
      <c r="R65" s="9">
        <v>0.69230769230769229</v>
      </c>
      <c r="S65" s="9">
        <v>0.91864494781087225</v>
      </c>
    </row>
    <row r="66" spans="1:19" ht="15.6" x14ac:dyDescent="0.3">
      <c r="A66" s="13" t="s">
        <v>8</v>
      </c>
      <c r="B66" s="2" t="s">
        <v>61</v>
      </c>
      <c r="C66" s="1">
        <v>2016</v>
      </c>
      <c r="D66" s="4" t="s">
        <v>158</v>
      </c>
      <c r="E66" s="5"/>
      <c r="F66" s="5"/>
      <c r="G66" s="5"/>
      <c r="H66" s="5"/>
      <c r="I66">
        <v>2</v>
      </c>
      <c r="J66" s="1">
        <v>1</v>
      </c>
      <c r="K66" s="1">
        <v>1</v>
      </c>
      <c r="L66" s="9">
        <v>2.66</v>
      </c>
      <c r="M66" s="9">
        <v>20.83</v>
      </c>
      <c r="N66" s="9">
        <v>35.1</v>
      </c>
      <c r="O66" s="9">
        <f>LN(301.26)</f>
        <v>5.7079736792746694</v>
      </c>
      <c r="P66" s="12">
        <v>2.1</v>
      </c>
      <c r="Q66" s="9">
        <v>12.400919597689271</v>
      </c>
      <c r="R66" s="9">
        <v>0.5</v>
      </c>
      <c r="S66" s="9">
        <v>0.40666186606316224</v>
      </c>
    </row>
    <row r="67" spans="1:19" ht="15.6" x14ac:dyDescent="0.3">
      <c r="A67" s="13" t="s">
        <v>8</v>
      </c>
      <c r="B67" s="2" t="s">
        <v>61</v>
      </c>
      <c r="C67" s="1">
        <v>2017</v>
      </c>
      <c r="D67" s="4" t="s">
        <v>158</v>
      </c>
      <c r="E67" s="5"/>
      <c r="F67" s="5"/>
      <c r="G67" s="5"/>
      <c r="H67" s="5"/>
      <c r="I67">
        <v>2</v>
      </c>
      <c r="J67" s="1">
        <v>1</v>
      </c>
      <c r="K67" s="1">
        <v>1</v>
      </c>
      <c r="L67" s="9">
        <v>2.6</v>
      </c>
      <c r="M67" s="9">
        <v>12.31</v>
      </c>
      <c r="N67" s="9">
        <v>23.89</v>
      </c>
      <c r="O67" s="9">
        <f>LN(319.11)</f>
        <v>5.7655358709316831</v>
      </c>
      <c r="P67" s="9">
        <v>3.9</v>
      </c>
      <c r="Q67" s="9">
        <v>12.300577956059561</v>
      </c>
      <c r="R67" s="9">
        <v>0.5</v>
      </c>
      <c r="S67" s="9">
        <v>0.48477183916150723</v>
      </c>
    </row>
    <row r="68" spans="1:19" ht="15.6" x14ac:dyDescent="0.3">
      <c r="A68" s="13" t="s">
        <v>8</v>
      </c>
      <c r="B68" s="2" t="s">
        <v>61</v>
      </c>
      <c r="C68" s="1">
        <v>2018</v>
      </c>
      <c r="D68" s="4" t="s">
        <v>158</v>
      </c>
      <c r="E68" s="5"/>
      <c r="F68" s="5"/>
      <c r="G68" s="5"/>
      <c r="H68" s="5"/>
      <c r="I68">
        <v>2</v>
      </c>
      <c r="J68" s="1">
        <v>1</v>
      </c>
      <c r="K68" s="1">
        <v>1</v>
      </c>
      <c r="L68" s="9">
        <v>3.03</v>
      </c>
      <c r="M68" s="9">
        <v>16.43</v>
      </c>
      <c r="N68" s="9">
        <v>26.69</v>
      </c>
      <c r="O68" s="9">
        <f>LN(358.79)</f>
        <v>5.8827372591162019</v>
      </c>
      <c r="P68" s="9">
        <v>0.9</v>
      </c>
      <c r="Q68" s="9">
        <v>12.289070981029342</v>
      </c>
      <c r="R68" s="9">
        <v>0.5714285714285714</v>
      </c>
      <c r="S68" s="9">
        <v>0.3841966241463729</v>
      </c>
    </row>
    <row r="69" spans="1:19" ht="15.6" x14ac:dyDescent="0.3">
      <c r="A69" s="13" t="s">
        <v>8</v>
      </c>
      <c r="B69" s="2" t="s">
        <v>61</v>
      </c>
      <c r="C69" s="1">
        <v>2019</v>
      </c>
      <c r="D69" s="4" t="s">
        <v>158</v>
      </c>
      <c r="E69" s="5"/>
      <c r="F69" s="5"/>
      <c r="G69" s="5"/>
      <c r="H69" s="5"/>
      <c r="I69">
        <v>2</v>
      </c>
      <c r="J69" s="1">
        <v>1</v>
      </c>
      <c r="K69" s="1">
        <v>1</v>
      </c>
      <c r="L69" s="9">
        <v>2.89</v>
      </c>
      <c r="M69" s="9">
        <v>27.29</v>
      </c>
      <c r="N69" s="9">
        <v>43.3</v>
      </c>
      <c r="O69" s="9">
        <f>LN(365.18)</f>
        <v>5.9003903827085873</v>
      </c>
      <c r="P69" s="12">
        <v>0.7</v>
      </c>
      <c r="Q69" s="9">
        <v>12.362995194462021</v>
      </c>
      <c r="R69" s="9">
        <v>0.5714285714285714</v>
      </c>
      <c r="S69" s="9">
        <v>0.36975651869168863</v>
      </c>
    </row>
    <row r="70" spans="1:19" ht="15.6" x14ac:dyDescent="0.3">
      <c r="A70" s="13" t="s">
        <v>8</v>
      </c>
      <c r="B70" s="2" t="s">
        <v>61</v>
      </c>
      <c r="C70" s="1">
        <v>2020</v>
      </c>
      <c r="D70" s="4" t="s">
        <v>158</v>
      </c>
      <c r="E70" s="5"/>
      <c r="F70" s="5"/>
      <c r="G70" s="5"/>
      <c r="H70" s="5"/>
      <c r="I70">
        <v>2</v>
      </c>
      <c r="J70" s="1">
        <v>1</v>
      </c>
      <c r="K70" s="1">
        <v>1</v>
      </c>
      <c r="L70" s="9">
        <v>1.23</v>
      </c>
      <c r="M70" s="9">
        <v>7.83</v>
      </c>
      <c r="N70" s="9">
        <v>19.350000000000001</v>
      </c>
      <c r="O70" s="9">
        <f>LN(337.46)</f>
        <v>5.8214469847701915</v>
      </c>
      <c r="P70" s="12">
        <v>-0.1</v>
      </c>
      <c r="Q70" s="9">
        <v>12.604257986985438</v>
      </c>
      <c r="R70" s="9">
        <v>0.625</v>
      </c>
      <c r="S70" s="9">
        <v>0.59545570538304504</v>
      </c>
    </row>
    <row r="71" spans="1:19" ht="15.6" x14ac:dyDescent="0.3">
      <c r="A71" s="13" t="s">
        <v>8</v>
      </c>
      <c r="B71" s="2" t="s">
        <v>61</v>
      </c>
      <c r="C71" s="1">
        <v>2021</v>
      </c>
      <c r="D71" s="4" t="s">
        <v>158</v>
      </c>
      <c r="E71" s="5">
        <v>58.4</v>
      </c>
      <c r="F71" s="5">
        <v>64.2</v>
      </c>
      <c r="G71" s="5">
        <v>83.8</v>
      </c>
      <c r="H71" s="5">
        <v>27.2</v>
      </c>
      <c r="I71">
        <v>2</v>
      </c>
      <c r="J71" s="1">
        <v>1</v>
      </c>
      <c r="K71" s="1">
        <v>1</v>
      </c>
      <c r="L71" s="9">
        <v>1.23</v>
      </c>
      <c r="M71" s="9">
        <v>9.5500000000000007</v>
      </c>
      <c r="N71" s="9">
        <v>21.87</v>
      </c>
      <c r="O71" s="9">
        <f>LN(373.78)</f>
        <v>5.9236673890421567</v>
      </c>
      <c r="P71" s="12">
        <v>2.5</v>
      </c>
      <c r="Q71" s="9">
        <v>12.741155665242291</v>
      </c>
      <c r="R71" s="9">
        <v>0.55555555555555558</v>
      </c>
      <c r="S71" s="9">
        <v>0.56335244408786656</v>
      </c>
    </row>
    <row r="72" spans="1:19" ht="15.6" x14ac:dyDescent="0.3">
      <c r="A72" s="13" t="s">
        <v>8</v>
      </c>
      <c r="B72" s="2" t="s">
        <v>61</v>
      </c>
      <c r="C72" s="1">
        <v>2022</v>
      </c>
      <c r="D72" s="4" t="s">
        <v>158</v>
      </c>
      <c r="E72" s="5">
        <v>54</v>
      </c>
      <c r="F72" s="5">
        <v>59.5</v>
      </c>
      <c r="G72" s="5">
        <v>83.1</v>
      </c>
      <c r="H72" s="5">
        <v>19</v>
      </c>
      <c r="I72">
        <v>2</v>
      </c>
      <c r="J72" s="1">
        <v>1</v>
      </c>
      <c r="K72" s="1">
        <v>1</v>
      </c>
      <c r="L72" s="9">
        <v>1.32</v>
      </c>
      <c r="M72" s="9">
        <v>9.94</v>
      </c>
      <c r="N72" s="9">
        <v>22.54</v>
      </c>
      <c r="O72" s="9">
        <f>LN(407.61)</f>
        <v>6.0103108349043417</v>
      </c>
      <c r="P72" s="12">
        <v>3.4</v>
      </c>
      <c r="Q72" s="9">
        <v>12.787969778917217</v>
      </c>
      <c r="R72" s="9">
        <v>0.55555555555555558</v>
      </c>
      <c r="S72" s="9">
        <v>0.55883158324159088</v>
      </c>
    </row>
    <row r="73" spans="1:19" ht="15.6" x14ac:dyDescent="0.3">
      <c r="A73" s="13" t="s">
        <v>8</v>
      </c>
      <c r="B73" s="2" t="s">
        <v>61</v>
      </c>
      <c r="C73" s="1">
        <v>2023</v>
      </c>
      <c r="D73" s="4" t="s">
        <v>158</v>
      </c>
      <c r="E73" s="5">
        <v>58.4</v>
      </c>
      <c r="F73" s="5">
        <v>64.2</v>
      </c>
      <c r="G73" s="5">
        <v>83.8</v>
      </c>
      <c r="H73" s="5">
        <v>27.2</v>
      </c>
      <c r="I73">
        <v>2</v>
      </c>
      <c r="J73" s="1">
        <v>1</v>
      </c>
      <c r="K73" s="1">
        <v>1</v>
      </c>
      <c r="L73" s="9">
        <v>1.51</v>
      </c>
      <c r="M73" s="9">
        <v>17.11</v>
      </c>
      <c r="N73" s="9">
        <v>36.35</v>
      </c>
      <c r="O73" s="9">
        <f>LN(399.71)</f>
        <v>5.9907392841683871</v>
      </c>
      <c r="P73" s="12">
        <v>2.5</v>
      </c>
      <c r="Q73" s="9">
        <v>12.90184138679507</v>
      </c>
      <c r="R73" s="9">
        <v>0.55555555555555558</v>
      </c>
      <c r="S73" s="9">
        <v>0.52940281760379004</v>
      </c>
    </row>
    <row r="74" spans="1:19" ht="15.6" x14ac:dyDescent="0.3">
      <c r="A74" s="13" t="s">
        <v>9</v>
      </c>
      <c r="B74" s="2" t="s">
        <v>62</v>
      </c>
      <c r="C74" s="1">
        <v>2016</v>
      </c>
      <c r="D74" s="4" t="s">
        <v>159</v>
      </c>
      <c r="E74" s="5"/>
      <c r="F74" s="5"/>
      <c r="G74" s="5"/>
      <c r="H74" s="5"/>
      <c r="I74">
        <v>2</v>
      </c>
      <c r="J74" s="1">
        <v>1</v>
      </c>
      <c r="K74" s="1">
        <v>1</v>
      </c>
      <c r="L74" s="9">
        <v>0.16</v>
      </c>
      <c r="M74" s="9">
        <v>-8.91</v>
      </c>
      <c r="N74" s="11">
        <v>-35.200000000000003</v>
      </c>
      <c r="O74" s="9">
        <f>LN(301.26)</f>
        <v>5.7079736792746694</v>
      </c>
      <c r="P74" s="12">
        <v>2.1</v>
      </c>
      <c r="Q74" s="9">
        <v>15.409679896728518</v>
      </c>
      <c r="R74" s="9">
        <v>0.5</v>
      </c>
      <c r="S74" s="9">
        <v>0.74694231817030743</v>
      </c>
    </row>
    <row r="75" spans="1:19" ht="15.6" x14ac:dyDescent="0.3">
      <c r="A75" s="13" t="s">
        <v>9</v>
      </c>
      <c r="B75" s="2" t="s">
        <v>62</v>
      </c>
      <c r="C75" s="1">
        <v>2017</v>
      </c>
      <c r="D75" s="4" t="s">
        <v>159</v>
      </c>
      <c r="E75" s="5"/>
      <c r="F75" s="5"/>
      <c r="G75" s="5"/>
      <c r="H75" s="5"/>
      <c r="I75">
        <v>2</v>
      </c>
      <c r="J75" s="1">
        <v>1</v>
      </c>
      <c r="K75" s="1">
        <v>1</v>
      </c>
      <c r="L75" s="9">
        <v>0.24</v>
      </c>
      <c r="M75" s="9">
        <v>1.87</v>
      </c>
      <c r="N75" s="9">
        <v>6.38</v>
      </c>
      <c r="O75" s="9">
        <f>LN(319.11)</f>
        <v>5.7655358709316831</v>
      </c>
      <c r="P75" s="9">
        <v>3.9</v>
      </c>
      <c r="Q75" s="9">
        <v>15.349552284237786</v>
      </c>
      <c r="R75" s="9">
        <v>0.5</v>
      </c>
      <c r="S75" s="9">
        <v>0.70687380307448111</v>
      </c>
    </row>
    <row r="76" spans="1:19" ht="15.6" x14ac:dyDescent="0.3">
      <c r="A76" s="13" t="s">
        <v>9</v>
      </c>
      <c r="B76" s="2" t="s">
        <v>62</v>
      </c>
      <c r="C76" s="1">
        <v>2018</v>
      </c>
      <c r="D76" s="4" t="s">
        <v>159</v>
      </c>
      <c r="E76" s="5"/>
      <c r="F76" s="5"/>
      <c r="G76" s="5"/>
      <c r="H76" s="5"/>
      <c r="I76">
        <v>2</v>
      </c>
      <c r="J76" s="1">
        <v>1</v>
      </c>
      <c r="K76" s="1">
        <v>1</v>
      </c>
      <c r="L76" s="9">
        <v>0.06</v>
      </c>
      <c r="M76" s="9">
        <v>-14.82</v>
      </c>
      <c r="N76" s="9">
        <v>-68.33</v>
      </c>
      <c r="O76" s="9">
        <f>LN(358.79)</f>
        <v>5.8827372591162019</v>
      </c>
      <c r="P76" s="9">
        <v>0.9</v>
      </c>
      <c r="Q76" s="9">
        <v>15.138640653225096</v>
      </c>
      <c r="R76" s="9">
        <v>0.5</v>
      </c>
      <c r="S76" s="9">
        <v>0.78314115761338343</v>
      </c>
    </row>
    <row r="77" spans="1:19" ht="15.6" x14ac:dyDescent="0.3">
      <c r="A77" s="13" t="s">
        <v>9</v>
      </c>
      <c r="B77" s="2" t="s">
        <v>62</v>
      </c>
      <c r="C77" s="1">
        <v>2019</v>
      </c>
      <c r="D77" s="4" t="s">
        <v>159</v>
      </c>
      <c r="E77" s="5"/>
      <c r="F77" s="5"/>
      <c r="G77" s="5"/>
      <c r="H77" s="5"/>
      <c r="I77">
        <v>2</v>
      </c>
      <c r="J77" s="1">
        <v>1</v>
      </c>
      <c r="K77" s="1">
        <v>1</v>
      </c>
      <c r="L77" s="9">
        <v>0.22</v>
      </c>
      <c r="M77" s="9">
        <v>0.42</v>
      </c>
      <c r="N77" s="9">
        <v>1.82</v>
      </c>
      <c r="O77" s="9">
        <f>LN(365.18)</f>
        <v>5.9003903827085873</v>
      </c>
      <c r="P77" s="12">
        <v>0.7</v>
      </c>
      <c r="Q77" s="9">
        <v>15.043922284167229</v>
      </c>
      <c r="R77" s="9">
        <v>0.5</v>
      </c>
      <c r="S77" s="9">
        <v>0.77014784237953038</v>
      </c>
    </row>
    <row r="78" spans="1:19" ht="15.6" x14ac:dyDescent="0.3">
      <c r="A78" s="13" t="s">
        <v>9</v>
      </c>
      <c r="B78" s="2" t="s">
        <v>62</v>
      </c>
      <c r="C78" s="1">
        <v>2020</v>
      </c>
      <c r="D78" s="4" t="s">
        <v>159</v>
      </c>
      <c r="E78" s="5"/>
      <c r="F78" s="5"/>
      <c r="G78" s="5"/>
      <c r="H78" s="5"/>
      <c r="I78">
        <v>2</v>
      </c>
      <c r="J78" s="1">
        <v>1</v>
      </c>
      <c r="K78" s="1">
        <v>1</v>
      </c>
      <c r="L78" s="9">
        <v>0.16</v>
      </c>
      <c r="M78" s="9">
        <v>0.99</v>
      </c>
      <c r="N78" s="9">
        <v>4.0199999999999996</v>
      </c>
      <c r="O78" s="9">
        <f>LN(337.46)</f>
        <v>5.8214469847701915</v>
      </c>
      <c r="P78" s="12">
        <v>-0.1</v>
      </c>
      <c r="Q78" s="9">
        <v>14.963436365891139</v>
      </c>
      <c r="R78" s="9">
        <v>0.5</v>
      </c>
      <c r="S78" s="9">
        <v>0.75287825516102835</v>
      </c>
    </row>
    <row r="79" spans="1:19" ht="15.6" x14ac:dyDescent="0.3">
      <c r="A79" s="13" t="s">
        <v>9</v>
      </c>
      <c r="B79" s="2" t="s">
        <v>62</v>
      </c>
      <c r="C79" s="1">
        <v>2021</v>
      </c>
      <c r="D79" s="4" t="s">
        <v>159</v>
      </c>
      <c r="E79" s="5">
        <v>71.099999999999994</v>
      </c>
      <c r="F79" s="5">
        <v>64.099999999999994</v>
      </c>
      <c r="G79" s="5">
        <v>59.7</v>
      </c>
      <c r="H79" s="5">
        <v>95.1</v>
      </c>
      <c r="I79">
        <v>2</v>
      </c>
      <c r="J79" s="1">
        <v>1</v>
      </c>
      <c r="K79" s="1">
        <v>1</v>
      </c>
      <c r="L79" s="9">
        <v>0.23</v>
      </c>
      <c r="M79" s="9">
        <v>4.76</v>
      </c>
      <c r="N79" s="9">
        <v>14.64</v>
      </c>
      <c r="O79" s="9">
        <f>LN(373.78)</f>
        <v>5.9236673890421567</v>
      </c>
      <c r="P79" s="12">
        <v>2.5</v>
      </c>
      <c r="Q79" s="9">
        <v>14.876916529886307</v>
      </c>
      <c r="R79" s="9">
        <v>0.625</v>
      </c>
      <c r="S79" s="9">
        <v>0.67508836049420984</v>
      </c>
    </row>
    <row r="80" spans="1:19" ht="15.6" x14ac:dyDescent="0.3">
      <c r="A80" s="13" t="s">
        <v>9</v>
      </c>
      <c r="B80" s="2" t="s">
        <v>62</v>
      </c>
      <c r="C80" s="1">
        <v>2022</v>
      </c>
      <c r="D80" s="4" t="s">
        <v>159</v>
      </c>
      <c r="E80" s="5">
        <v>70.5</v>
      </c>
      <c r="F80" s="5">
        <v>69.2</v>
      </c>
      <c r="G80" s="5">
        <v>55.7</v>
      </c>
      <c r="H80" s="5">
        <v>93</v>
      </c>
      <c r="I80">
        <v>1.5</v>
      </c>
      <c r="J80" s="1">
        <v>0.5</v>
      </c>
      <c r="K80" s="1">
        <v>1</v>
      </c>
      <c r="L80" s="9">
        <v>0.24</v>
      </c>
      <c r="M80" s="9">
        <v>6.25</v>
      </c>
      <c r="N80" s="9">
        <v>14.37</v>
      </c>
      <c r="O80" s="9">
        <f>LN(407.61)</f>
        <v>6.0103108349043417</v>
      </c>
      <c r="P80" s="12">
        <v>3.4</v>
      </c>
      <c r="Q80" s="9">
        <v>14.792765806825132</v>
      </c>
      <c r="R80" s="9">
        <v>0.625</v>
      </c>
      <c r="S80" s="9">
        <v>0.56544918565095803</v>
      </c>
    </row>
    <row r="81" spans="1:19" ht="15.6" x14ac:dyDescent="0.3">
      <c r="A81" s="13" t="s">
        <v>9</v>
      </c>
      <c r="B81" s="2" t="s">
        <v>62</v>
      </c>
      <c r="C81" s="1">
        <v>2023</v>
      </c>
      <c r="D81" s="4" t="s">
        <v>159</v>
      </c>
      <c r="E81" s="5">
        <v>71.099999999999994</v>
      </c>
      <c r="F81" s="5">
        <v>64.099999999999994</v>
      </c>
      <c r="G81" s="5">
        <v>59.7</v>
      </c>
      <c r="H81" s="5">
        <v>95.1</v>
      </c>
      <c r="I81">
        <v>2</v>
      </c>
      <c r="J81" s="1">
        <v>1</v>
      </c>
      <c r="K81" s="1">
        <v>1</v>
      </c>
      <c r="L81" s="9">
        <v>0.26</v>
      </c>
      <c r="M81" s="9">
        <v>2.99</v>
      </c>
      <c r="N81" s="9">
        <v>5.95</v>
      </c>
      <c r="O81" s="9">
        <f>LN(399.71)</f>
        <v>5.9907392841683871</v>
      </c>
      <c r="P81" s="12">
        <v>2.5</v>
      </c>
      <c r="Q81" s="9">
        <v>14.699699496935226</v>
      </c>
      <c r="R81" s="9">
        <v>0.625</v>
      </c>
      <c r="S81" s="9">
        <v>0.49805990863355115</v>
      </c>
    </row>
    <row r="82" spans="1:19" ht="15.6" x14ac:dyDescent="0.3">
      <c r="A82" s="13" t="s">
        <v>10</v>
      </c>
      <c r="B82" s="2" t="s">
        <v>63</v>
      </c>
      <c r="C82" s="1">
        <v>2016</v>
      </c>
      <c r="D82" s="4" t="s">
        <v>155</v>
      </c>
      <c r="E82" s="5">
        <v>50.5</v>
      </c>
      <c r="F82" s="5">
        <v>19.8</v>
      </c>
      <c r="G82" s="5">
        <v>64</v>
      </c>
      <c r="H82" s="5">
        <v>49.7</v>
      </c>
      <c r="I82">
        <v>1.4</v>
      </c>
      <c r="J82" s="1">
        <v>1</v>
      </c>
      <c r="K82" s="1">
        <v>0.4</v>
      </c>
      <c r="L82" s="9">
        <v>1.95</v>
      </c>
      <c r="M82" s="9">
        <v>7.95</v>
      </c>
      <c r="N82" s="9">
        <v>21.82</v>
      </c>
      <c r="O82" s="9">
        <f>LN(301.26)</f>
        <v>5.7079736792746694</v>
      </c>
      <c r="P82" s="12">
        <v>2.1</v>
      </c>
      <c r="Q82" s="9">
        <v>13.205050585302773</v>
      </c>
      <c r="R82" s="9">
        <v>0.54545454545454541</v>
      </c>
      <c r="S82" s="9">
        <v>0.63583200914746985</v>
      </c>
    </row>
    <row r="83" spans="1:19" ht="15.6" x14ac:dyDescent="0.3">
      <c r="A83" s="13" t="s">
        <v>10</v>
      </c>
      <c r="B83" s="2" t="s">
        <v>63</v>
      </c>
      <c r="C83" s="1">
        <v>2017</v>
      </c>
      <c r="D83" s="4" t="s">
        <v>155</v>
      </c>
      <c r="E83" s="5">
        <v>59.8</v>
      </c>
      <c r="F83" s="5">
        <v>53.6</v>
      </c>
      <c r="G83" s="5">
        <v>70.599999999999994</v>
      </c>
      <c r="H83" s="5">
        <v>49.9</v>
      </c>
      <c r="I83">
        <v>1.2</v>
      </c>
      <c r="J83" s="1">
        <v>1</v>
      </c>
      <c r="K83" s="1">
        <v>0.2</v>
      </c>
      <c r="L83" s="9">
        <v>2.4500000000000002</v>
      </c>
      <c r="M83" s="9">
        <v>10.029999999999999</v>
      </c>
      <c r="N83" s="9">
        <v>25.86</v>
      </c>
      <c r="O83" s="9">
        <f>LN(319.11)</f>
        <v>5.7655358709316831</v>
      </c>
      <c r="P83" s="9">
        <v>3.9</v>
      </c>
      <c r="Q83" s="9">
        <v>13.213537743783338</v>
      </c>
      <c r="R83" s="9">
        <v>0.54545454545454541</v>
      </c>
      <c r="S83" s="9">
        <v>0.61235827871396487</v>
      </c>
    </row>
    <row r="84" spans="1:19" ht="15.6" x14ac:dyDescent="0.3">
      <c r="A84" s="13" t="s">
        <v>10</v>
      </c>
      <c r="B84" s="2" t="s">
        <v>63</v>
      </c>
      <c r="C84" s="1">
        <v>2018</v>
      </c>
      <c r="D84" s="4" t="s">
        <v>155</v>
      </c>
      <c r="E84" s="5">
        <v>60</v>
      </c>
      <c r="F84" s="5">
        <v>60.4</v>
      </c>
      <c r="G84" s="5">
        <v>57.2</v>
      </c>
      <c r="H84" s="5">
        <v>63.2</v>
      </c>
      <c r="I84">
        <v>1.2</v>
      </c>
      <c r="J84" s="1">
        <v>1</v>
      </c>
      <c r="K84" s="1">
        <v>0.2</v>
      </c>
      <c r="L84" s="9">
        <v>2.27</v>
      </c>
      <c r="M84" s="9">
        <v>9.1999999999999993</v>
      </c>
      <c r="N84" s="9">
        <v>25.25</v>
      </c>
      <c r="O84" s="9">
        <f>LN(358.79)</f>
        <v>5.8827372591162019</v>
      </c>
      <c r="P84" s="9">
        <v>0.9</v>
      </c>
      <c r="Q84" s="9">
        <v>13.284943005059933</v>
      </c>
      <c r="R84" s="9">
        <v>0.54545454545454541</v>
      </c>
      <c r="S84" s="9">
        <v>0.63547922641095689</v>
      </c>
    </row>
    <row r="85" spans="1:19" ht="15.6" x14ac:dyDescent="0.3">
      <c r="A85" s="13" t="s">
        <v>10</v>
      </c>
      <c r="B85" s="2" t="s">
        <v>63</v>
      </c>
      <c r="C85" s="1">
        <v>2019</v>
      </c>
      <c r="D85" s="4" t="s">
        <v>155</v>
      </c>
      <c r="E85" s="5">
        <v>57.9</v>
      </c>
      <c r="F85" s="5">
        <v>52.5</v>
      </c>
      <c r="G85" s="5">
        <v>67</v>
      </c>
      <c r="H85" s="5">
        <v>49.8</v>
      </c>
      <c r="I85">
        <v>1.4</v>
      </c>
      <c r="J85" s="1">
        <v>1</v>
      </c>
      <c r="K85" s="1">
        <v>0.4</v>
      </c>
      <c r="L85" s="9">
        <v>2.12</v>
      </c>
      <c r="M85" s="9">
        <v>8.01</v>
      </c>
      <c r="N85" s="9">
        <v>24.43</v>
      </c>
      <c r="O85" s="9">
        <f>LN(365.18)</f>
        <v>5.9003903827085873</v>
      </c>
      <c r="P85" s="12">
        <v>0.7</v>
      </c>
      <c r="Q85" s="9">
        <v>13.248370281938453</v>
      </c>
      <c r="R85" s="9">
        <v>0.54545454545454541</v>
      </c>
      <c r="S85" s="9">
        <v>0.67223020567932368</v>
      </c>
    </row>
    <row r="86" spans="1:19" ht="15.6" x14ac:dyDescent="0.3">
      <c r="A86" s="13" t="s">
        <v>10</v>
      </c>
      <c r="B86" s="2" t="s">
        <v>63</v>
      </c>
      <c r="C86" s="1">
        <v>2020</v>
      </c>
      <c r="D86" s="4" t="s">
        <v>155</v>
      </c>
      <c r="E86" s="5">
        <v>63.9</v>
      </c>
      <c r="F86" s="5">
        <v>51.2</v>
      </c>
      <c r="G86" s="5">
        <v>68.2</v>
      </c>
      <c r="H86" s="5">
        <v>65.099999999999994</v>
      </c>
      <c r="I86">
        <v>1.4</v>
      </c>
      <c r="J86" s="1">
        <v>1</v>
      </c>
      <c r="K86" s="1">
        <v>0.4</v>
      </c>
      <c r="L86" s="9">
        <v>2.08</v>
      </c>
      <c r="M86" s="9">
        <v>11.69</v>
      </c>
      <c r="N86" s="9">
        <v>41.94</v>
      </c>
      <c r="O86" s="9">
        <f>LN(337.46)</f>
        <v>5.8214469847701915</v>
      </c>
      <c r="P86" s="12">
        <v>-0.1</v>
      </c>
      <c r="Q86" s="9">
        <v>13.599342620386489</v>
      </c>
      <c r="R86" s="9">
        <v>0.63636363636363635</v>
      </c>
      <c r="S86" s="9">
        <v>0.72136420059582917</v>
      </c>
    </row>
    <row r="87" spans="1:19" ht="15.6" x14ac:dyDescent="0.3">
      <c r="A87" s="13" t="s">
        <v>10</v>
      </c>
      <c r="B87" s="2" t="s">
        <v>63</v>
      </c>
      <c r="C87" s="1">
        <v>2021</v>
      </c>
      <c r="D87" s="4" t="s">
        <v>155</v>
      </c>
      <c r="E87" s="5">
        <v>77</v>
      </c>
      <c r="F87" s="5">
        <v>77.7</v>
      </c>
      <c r="G87" s="5">
        <v>75</v>
      </c>
      <c r="H87" s="5">
        <v>81.2</v>
      </c>
      <c r="I87">
        <v>1.1000000000000001</v>
      </c>
      <c r="J87" s="1">
        <v>0.5</v>
      </c>
      <c r="K87" s="1">
        <v>0.6</v>
      </c>
      <c r="L87" s="9">
        <v>1.22</v>
      </c>
      <c r="M87" s="9">
        <v>8.18</v>
      </c>
      <c r="N87" s="9">
        <v>43.48</v>
      </c>
      <c r="O87" s="9">
        <f>LN(373.78)</f>
        <v>5.9236673890421567</v>
      </c>
      <c r="P87" s="12">
        <v>2.5</v>
      </c>
      <c r="Q87" s="9">
        <v>13.854501437015413</v>
      </c>
      <c r="R87" s="9">
        <v>0.63636363636363635</v>
      </c>
      <c r="S87" s="9">
        <v>0.81180771350339165</v>
      </c>
    </row>
    <row r="88" spans="1:19" ht="15.6" x14ac:dyDescent="0.3">
      <c r="A88" s="13" t="s">
        <v>10</v>
      </c>
      <c r="B88" s="2" t="s">
        <v>63</v>
      </c>
      <c r="C88" s="1">
        <v>2022</v>
      </c>
      <c r="D88" s="4" t="s">
        <v>155</v>
      </c>
      <c r="E88" s="5">
        <v>75.3</v>
      </c>
      <c r="F88" s="5">
        <v>78.400000000000006</v>
      </c>
      <c r="G88" s="5">
        <v>68.099999999999994</v>
      </c>
      <c r="H88" s="5">
        <v>83.1</v>
      </c>
      <c r="I88">
        <v>2</v>
      </c>
      <c r="J88" s="1">
        <v>1</v>
      </c>
      <c r="K88" s="1">
        <v>1</v>
      </c>
      <c r="L88" s="9">
        <v>1.27</v>
      </c>
      <c r="M88" s="9">
        <v>5.34</v>
      </c>
      <c r="N88" s="9">
        <v>28.8</v>
      </c>
      <c r="O88" s="9">
        <f>LN(407.61)</f>
        <v>6.0103108349043417</v>
      </c>
      <c r="P88" s="12">
        <v>3.4</v>
      </c>
      <c r="Q88" s="9">
        <v>13.776576363760519</v>
      </c>
      <c r="R88" s="9">
        <v>0.72727272727272729</v>
      </c>
      <c r="S88" s="9">
        <v>0.81463983680836416</v>
      </c>
    </row>
    <row r="89" spans="1:19" ht="15.6" x14ac:dyDescent="0.3">
      <c r="A89" s="13" t="s">
        <v>10</v>
      </c>
      <c r="B89" s="2" t="s">
        <v>63</v>
      </c>
      <c r="C89" s="1">
        <v>2023</v>
      </c>
      <c r="D89" s="4" t="s">
        <v>155</v>
      </c>
      <c r="E89" s="5">
        <v>77</v>
      </c>
      <c r="F89" s="5">
        <v>77.7</v>
      </c>
      <c r="G89" s="5">
        <v>75</v>
      </c>
      <c r="H89" s="5">
        <v>81.2</v>
      </c>
      <c r="I89">
        <v>1.8</v>
      </c>
      <c r="J89" s="1">
        <v>1</v>
      </c>
      <c r="K89" s="1">
        <v>0.8</v>
      </c>
      <c r="L89" s="9">
        <v>1.7</v>
      </c>
      <c r="M89" s="9">
        <v>7.69</v>
      </c>
      <c r="N89" s="9">
        <v>30.61</v>
      </c>
      <c r="O89" s="9">
        <f>LN(399.71)</f>
        <v>5.9907392841683871</v>
      </c>
      <c r="P89" s="12">
        <v>2.5</v>
      </c>
      <c r="Q89" s="9">
        <v>13.479752466280852</v>
      </c>
      <c r="R89" s="9">
        <v>0.72727272727272729</v>
      </c>
      <c r="S89" s="9">
        <v>0.74873950050084215</v>
      </c>
    </row>
    <row r="90" spans="1:19" ht="15.6" x14ac:dyDescent="0.3">
      <c r="A90" s="13" t="s">
        <v>11</v>
      </c>
      <c r="B90" s="2" t="s">
        <v>64</v>
      </c>
      <c r="C90" s="1">
        <v>2016</v>
      </c>
      <c r="D90" s="4" t="s">
        <v>158</v>
      </c>
      <c r="E90" s="5">
        <v>53.9</v>
      </c>
      <c r="F90" s="5">
        <v>38.6</v>
      </c>
      <c r="G90" s="5">
        <v>53</v>
      </c>
      <c r="H90" s="5">
        <v>76.7</v>
      </c>
      <c r="I90">
        <v>1.3</v>
      </c>
      <c r="J90" s="1">
        <v>0.5</v>
      </c>
      <c r="K90" s="1">
        <v>0.8</v>
      </c>
      <c r="L90" s="9">
        <v>6.48</v>
      </c>
      <c r="M90" s="9">
        <v>30.99</v>
      </c>
      <c r="N90" s="11">
        <v>62.11</v>
      </c>
      <c r="O90" s="9">
        <f>LN(301.26)</f>
        <v>5.7079736792746694</v>
      </c>
      <c r="P90" s="12">
        <v>2.1</v>
      </c>
      <c r="Q90" s="9">
        <v>11.90133935717601</v>
      </c>
      <c r="R90" s="9">
        <v>0.5</v>
      </c>
      <c r="S90" s="9">
        <v>0.50107822926273526</v>
      </c>
    </row>
    <row r="91" spans="1:19" ht="15.6" x14ac:dyDescent="0.3">
      <c r="A91" s="13" t="s">
        <v>11</v>
      </c>
      <c r="B91" s="2" t="s">
        <v>64</v>
      </c>
      <c r="C91" s="1">
        <v>2017</v>
      </c>
      <c r="D91" s="4" t="s">
        <v>158</v>
      </c>
      <c r="E91" s="5">
        <v>54.2</v>
      </c>
      <c r="F91" s="5">
        <v>43.6</v>
      </c>
      <c r="G91" s="5">
        <v>52.1</v>
      </c>
      <c r="H91" s="5">
        <v>71.7</v>
      </c>
      <c r="I91">
        <v>1.8</v>
      </c>
      <c r="J91" s="1">
        <v>1</v>
      </c>
      <c r="K91" s="1">
        <v>0.8</v>
      </c>
      <c r="L91" s="9">
        <v>7.18</v>
      </c>
      <c r="M91" s="9">
        <v>33.950000000000003</v>
      </c>
      <c r="N91" s="9">
        <v>70.78</v>
      </c>
      <c r="O91" s="9">
        <f>LN(319.11)</f>
        <v>5.7655358709316831</v>
      </c>
      <c r="P91" s="9">
        <v>3.9</v>
      </c>
      <c r="Q91" s="9">
        <v>11.985245160063634</v>
      </c>
      <c r="R91" s="9">
        <v>0.5</v>
      </c>
      <c r="S91" s="9">
        <v>0.5203309825342487</v>
      </c>
    </row>
    <row r="92" spans="1:19" ht="15.6" x14ac:dyDescent="0.3">
      <c r="A92" s="13" t="s">
        <v>11</v>
      </c>
      <c r="B92" s="2" t="s">
        <v>64</v>
      </c>
      <c r="C92" s="1">
        <v>2018</v>
      </c>
      <c r="D92" s="4" t="s">
        <v>158</v>
      </c>
      <c r="E92" s="5">
        <v>58.4</v>
      </c>
      <c r="F92" s="5">
        <v>49.8</v>
      </c>
      <c r="G92" s="5">
        <v>61</v>
      </c>
      <c r="H92" s="5">
        <v>66.900000000000006</v>
      </c>
      <c r="I92">
        <v>1.8</v>
      </c>
      <c r="J92" s="1">
        <v>1</v>
      </c>
      <c r="K92" s="1">
        <v>0.8</v>
      </c>
      <c r="L92" s="9">
        <v>8.82</v>
      </c>
      <c r="M92" s="9">
        <v>40.61</v>
      </c>
      <c r="N92" s="9">
        <v>153.13</v>
      </c>
      <c r="O92" s="9">
        <f>LN(358.79)</f>
        <v>5.8827372591162019</v>
      </c>
      <c r="P92" s="9">
        <v>0.9</v>
      </c>
      <c r="Q92" s="9">
        <v>12.013215786820837</v>
      </c>
      <c r="R92" s="9">
        <v>0.5</v>
      </c>
      <c r="S92" s="9">
        <v>0.73481081736599563</v>
      </c>
    </row>
    <row r="93" spans="1:19" ht="15.6" x14ac:dyDescent="0.3">
      <c r="A93" s="13" t="s">
        <v>11</v>
      </c>
      <c r="B93" s="2" t="s">
        <v>64</v>
      </c>
      <c r="C93" s="1">
        <v>2019</v>
      </c>
      <c r="D93" s="4" t="s">
        <v>158</v>
      </c>
      <c r="E93" s="5">
        <v>55.7</v>
      </c>
      <c r="F93" s="5">
        <v>47.8</v>
      </c>
      <c r="G93" s="5">
        <v>63.4</v>
      </c>
      <c r="H93" s="5">
        <v>56.3</v>
      </c>
      <c r="I93">
        <v>1.1000000000000001</v>
      </c>
      <c r="J93" s="1">
        <v>0.5</v>
      </c>
      <c r="K93" s="1">
        <v>0.6</v>
      </c>
      <c r="L93" s="9">
        <v>13.23</v>
      </c>
      <c r="M93" s="9">
        <v>42.84</v>
      </c>
      <c r="N93" s="9">
        <v>185.71</v>
      </c>
      <c r="O93" s="9">
        <f>LN(365.18)</f>
        <v>5.9003903827085873</v>
      </c>
      <c r="P93" s="12">
        <v>0.7</v>
      </c>
      <c r="Q93" s="9">
        <v>12.019779211263794</v>
      </c>
      <c r="R93" s="9">
        <v>0.5</v>
      </c>
      <c r="S93" s="9">
        <v>0.76933363854318515</v>
      </c>
    </row>
    <row r="94" spans="1:19" ht="15.6" x14ac:dyDescent="0.3">
      <c r="A94" s="13" t="s">
        <v>11</v>
      </c>
      <c r="B94" s="2" t="s">
        <v>64</v>
      </c>
      <c r="C94" s="1">
        <v>2020</v>
      </c>
      <c r="D94" s="4" t="s">
        <v>158</v>
      </c>
      <c r="E94" s="5">
        <v>48.1</v>
      </c>
      <c r="F94" s="5">
        <v>47.2</v>
      </c>
      <c r="G94" s="5">
        <v>57.1</v>
      </c>
      <c r="H94" s="5">
        <v>36.700000000000003</v>
      </c>
      <c r="I94">
        <v>2</v>
      </c>
      <c r="J94" s="1">
        <v>1</v>
      </c>
      <c r="K94" s="1">
        <v>1</v>
      </c>
      <c r="L94" s="9">
        <v>11.16</v>
      </c>
      <c r="M94" s="9">
        <v>25.31</v>
      </c>
      <c r="N94" s="9">
        <v>92.25</v>
      </c>
      <c r="O94" s="9">
        <f>LN(337.46)</f>
        <v>5.8214469847701915</v>
      </c>
      <c r="P94" s="12">
        <v>-0.1</v>
      </c>
      <c r="Q94" s="9">
        <v>11.974272987992675</v>
      </c>
      <c r="R94" s="9">
        <v>0.5</v>
      </c>
      <c r="S94" s="9">
        <v>0.72565423241563221</v>
      </c>
    </row>
    <row r="95" spans="1:19" ht="15.6" x14ac:dyDescent="0.3">
      <c r="A95" s="13" t="s">
        <v>11</v>
      </c>
      <c r="B95" s="2" t="s">
        <v>64</v>
      </c>
      <c r="C95" s="1">
        <v>2021</v>
      </c>
      <c r="D95" s="4" t="s">
        <v>158</v>
      </c>
      <c r="E95" s="5">
        <v>61.1</v>
      </c>
      <c r="F95" s="5">
        <v>56.1</v>
      </c>
      <c r="G95" s="5">
        <v>77.599999999999994</v>
      </c>
      <c r="H95" s="5">
        <v>36.9</v>
      </c>
      <c r="I95">
        <v>1.1000000000000001</v>
      </c>
      <c r="J95" s="1">
        <v>0.5</v>
      </c>
      <c r="K95" s="1">
        <v>0.6</v>
      </c>
      <c r="L95" s="9">
        <v>7.6</v>
      </c>
      <c r="M95" s="9">
        <v>24.87</v>
      </c>
      <c r="N95" s="9">
        <v>93.23</v>
      </c>
      <c r="O95" s="9">
        <f>LN(373.78)</f>
        <v>5.9236673890421567</v>
      </c>
      <c r="P95" s="12">
        <v>2.5</v>
      </c>
      <c r="Q95" s="9">
        <v>12.173368652357047</v>
      </c>
      <c r="R95" s="9">
        <v>0.5</v>
      </c>
      <c r="S95" s="9">
        <v>0.73329889184511665</v>
      </c>
    </row>
    <row r="96" spans="1:19" ht="15.6" x14ac:dyDescent="0.3">
      <c r="A96" s="13" t="s">
        <v>11</v>
      </c>
      <c r="B96" s="2" t="s">
        <v>64</v>
      </c>
      <c r="C96" s="1">
        <v>2022</v>
      </c>
      <c r="D96" s="4" t="s">
        <v>158</v>
      </c>
      <c r="E96" s="5">
        <v>65.2</v>
      </c>
      <c r="F96" s="5">
        <v>59.5</v>
      </c>
      <c r="G96" s="5">
        <v>78.599999999999994</v>
      </c>
      <c r="H96" s="5">
        <v>47.5</v>
      </c>
      <c r="I96">
        <v>1.1000000000000001</v>
      </c>
      <c r="J96" s="1">
        <v>0.5</v>
      </c>
      <c r="K96" s="1">
        <v>0.6</v>
      </c>
      <c r="L96" s="9">
        <v>6.61</v>
      </c>
      <c r="M96" s="9">
        <v>29.96</v>
      </c>
      <c r="N96" s="9">
        <v>205.72</v>
      </c>
      <c r="O96" s="9">
        <f>LN(407.61)</f>
        <v>6.0103108349043417</v>
      </c>
      <c r="P96" s="12">
        <v>3.4</v>
      </c>
      <c r="Q96" s="9">
        <v>12.387514648963785</v>
      </c>
      <c r="R96" s="9">
        <v>0.42857142857142855</v>
      </c>
      <c r="S96" s="9">
        <v>0.85435945768988564</v>
      </c>
    </row>
    <row r="97" spans="1:19" ht="15.6" x14ac:dyDescent="0.3">
      <c r="A97" s="13" t="s">
        <v>11</v>
      </c>
      <c r="B97" s="2" t="s">
        <v>64</v>
      </c>
      <c r="C97" s="1">
        <v>2023</v>
      </c>
      <c r="D97" s="4" t="s">
        <v>158</v>
      </c>
      <c r="E97" s="5">
        <v>61.1</v>
      </c>
      <c r="F97" s="5">
        <v>56.1</v>
      </c>
      <c r="G97" s="5">
        <v>77.599999999999994</v>
      </c>
      <c r="H97" s="5">
        <v>36.9</v>
      </c>
      <c r="I97">
        <v>0.7</v>
      </c>
      <c r="J97" s="1">
        <v>0.5</v>
      </c>
      <c r="K97" s="1">
        <v>0.2</v>
      </c>
      <c r="L97" s="9">
        <v>5.8</v>
      </c>
      <c r="M97" s="9">
        <v>32.17</v>
      </c>
      <c r="N97" s="9">
        <v>139.5</v>
      </c>
      <c r="O97" s="9">
        <f>LN(399.71)</f>
        <v>5.9907392841683871</v>
      </c>
      <c r="P97" s="12">
        <v>2.5</v>
      </c>
      <c r="Q97" s="9">
        <v>12.308466765784397</v>
      </c>
      <c r="R97" s="9">
        <v>0.5714285714285714</v>
      </c>
      <c r="S97" s="9">
        <v>0.76939394486468926</v>
      </c>
    </row>
    <row r="98" spans="1:19" ht="15.6" x14ac:dyDescent="0.3">
      <c r="A98" s="13" t="s">
        <v>12</v>
      </c>
      <c r="B98" s="2" t="s">
        <v>65</v>
      </c>
      <c r="C98" s="1">
        <v>2016</v>
      </c>
      <c r="D98" s="4" t="s">
        <v>156</v>
      </c>
      <c r="E98" s="5"/>
      <c r="F98" s="5"/>
      <c r="G98" s="5"/>
      <c r="H98" s="5"/>
      <c r="I98">
        <v>1.3</v>
      </c>
      <c r="J98" s="1">
        <v>0.5</v>
      </c>
      <c r="K98" s="1">
        <v>0.8</v>
      </c>
      <c r="L98" s="9">
        <v>6.83</v>
      </c>
      <c r="M98" s="9">
        <v>29.7</v>
      </c>
      <c r="N98" s="9">
        <v>314.41000000000003</v>
      </c>
      <c r="O98" s="9">
        <f>LN(301.26)</f>
        <v>5.7079736792746694</v>
      </c>
      <c r="P98" s="12">
        <v>2.1</v>
      </c>
      <c r="Q98" s="9">
        <v>14.018925575237331</v>
      </c>
      <c r="R98" s="9">
        <v>0.5</v>
      </c>
      <c r="S98" s="9">
        <v>0.90555255017824199</v>
      </c>
    </row>
    <row r="99" spans="1:19" ht="15.6" x14ac:dyDescent="0.3">
      <c r="A99" s="13" t="s">
        <v>12</v>
      </c>
      <c r="B99" s="2" t="s">
        <v>65</v>
      </c>
      <c r="C99" s="1">
        <v>2017</v>
      </c>
      <c r="D99" s="4" t="s">
        <v>156</v>
      </c>
      <c r="E99" s="5"/>
      <c r="F99" s="5"/>
      <c r="G99" s="5"/>
      <c r="H99" s="5"/>
      <c r="I99">
        <v>1.3</v>
      </c>
      <c r="J99" s="1">
        <v>0.5</v>
      </c>
      <c r="K99" s="1">
        <v>0.8</v>
      </c>
      <c r="L99" s="9">
        <v>6.8</v>
      </c>
      <c r="M99" s="9">
        <v>25.31</v>
      </c>
      <c r="N99" s="9">
        <v>284.68</v>
      </c>
      <c r="O99" s="9">
        <f>LN(319.11)</f>
        <v>5.7655358709316831</v>
      </c>
      <c r="P99" s="9">
        <v>3.9</v>
      </c>
      <c r="Q99" s="9">
        <v>14.177471605805033</v>
      </c>
      <c r="R99" s="9">
        <v>0.5</v>
      </c>
      <c r="S99" s="9">
        <v>0.91108127811784756</v>
      </c>
    </row>
    <row r="100" spans="1:19" ht="15.6" x14ac:dyDescent="0.3">
      <c r="A100" s="13" t="s">
        <v>12</v>
      </c>
      <c r="B100" s="2" t="s">
        <v>65</v>
      </c>
      <c r="C100" s="1">
        <v>2018</v>
      </c>
      <c r="D100" s="4" t="s">
        <v>156</v>
      </c>
      <c r="E100" s="5"/>
      <c r="F100" s="5"/>
      <c r="G100" s="5"/>
      <c r="H100" s="5"/>
      <c r="I100">
        <v>1.8</v>
      </c>
      <c r="J100" s="1">
        <v>1</v>
      </c>
      <c r="K100" s="1">
        <v>0.8</v>
      </c>
      <c r="L100" s="9">
        <v>5.64</v>
      </c>
      <c r="M100" s="9">
        <v>24.83</v>
      </c>
      <c r="N100" s="9">
        <v>228.88</v>
      </c>
      <c r="O100" s="9">
        <f>LN(358.79)</f>
        <v>5.8827372591162019</v>
      </c>
      <c r="P100" s="9">
        <v>0.9</v>
      </c>
      <c r="Q100" s="9">
        <v>14.220702962225458</v>
      </c>
      <c r="R100" s="9">
        <v>0.5</v>
      </c>
      <c r="S100" s="9">
        <v>0.89152708971979688</v>
      </c>
    </row>
    <row r="101" spans="1:19" ht="15.6" x14ac:dyDescent="0.3">
      <c r="A101" s="13" t="s">
        <v>12</v>
      </c>
      <c r="B101" s="2" t="s">
        <v>65</v>
      </c>
      <c r="C101" s="1">
        <v>2019</v>
      </c>
      <c r="D101" s="4" t="s">
        <v>156</v>
      </c>
      <c r="E101" s="5"/>
      <c r="F101" s="5"/>
      <c r="G101" s="5"/>
      <c r="H101" s="5"/>
      <c r="I101">
        <v>2</v>
      </c>
      <c r="J101" s="1">
        <v>1</v>
      </c>
      <c r="K101" s="1">
        <v>1</v>
      </c>
      <c r="L101" s="9">
        <v>4.26</v>
      </c>
      <c r="M101" s="9">
        <v>17.579999999999998</v>
      </c>
      <c r="N101" s="9">
        <v>217.12</v>
      </c>
      <c r="O101" s="9">
        <f>LN(365.18)</f>
        <v>5.9003903827085873</v>
      </c>
      <c r="P101" s="12">
        <v>0.7</v>
      </c>
      <c r="Q101" s="9">
        <v>14.504303773761038</v>
      </c>
      <c r="R101" s="9">
        <v>0.55555555555555558</v>
      </c>
      <c r="S101" s="9">
        <v>0.91901465918683722</v>
      </c>
    </row>
    <row r="102" spans="1:19" ht="15.6" x14ac:dyDescent="0.3">
      <c r="A102" s="13" t="s">
        <v>12</v>
      </c>
      <c r="B102" s="2" t="s">
        <v>65</v>
      </c>
      <c r="C102" s="1">
        <v>2020</v>
      </c>
      <c r="D102" s="4" t="s">
        <v>156</v>
      </c>
      <c r="E102" s="5"/>
      <c r="F102" s="5"/>
      <c r="G102" s="5"/>
      <c r="H102" s="5"/>
      <c r="I102">
        <v>2</v>
      </c>
      <c r="J102" s="1">
        <v>1</v>
      </c>
      <c r="K102" s="1">
        <v>1</v>
      </c>
      <c r="L102" s="9">
        <v>3.93</v>
      </c>
      <c r="M102" s="9">
        <v>14.91</v>
      </c>
      <c r="N102" s="9">
        <v>201.53</v>
      </c>
      <c r="O102" s="9">
        <f>LN(337.46)</f>
        <v>5.8214469847701915</v>
      </c>
      <c r="P102" s="12">
        <v>-0.1</v>
      </c>
      <c r="Q102" s="9">
        <v>14.528486345875072</v>
      </c>
      <c r="R102" s="9">
        <v>0.55555555555555558</v>
      </c>
      <c r="S102" s="9">
        <v>0.92599555011560974</v>
      </c>
    </row>
    <row r="103" spans="1:19" ht="15.6" x14ac:dyDescent="0.3">
      <c r="A103" s="13" t="s">
        <v>12</v>
      </c>
      <c r="B103" s="2" t="s">
        <v>65</v>
      </c>
      <c r="C103" s="1">
        <v>2021</v>
      </c>
      <c r="D103" s="4" t="s">
        <v>156</v>
      </c>
      <c r="E103" s="5">
        <v>67.900000000000006</v>
      </c>
      <c r="F103" s="5">
        <v>51.9</v>
      </c>
      <c r="G103" s="5">
        <v>70.099999999999994</v>
      </c>
      <c r="H103" s="5">
        <v>76</v>
      </c>
      <c r="I103">
        <v>2</v>
      </c>
      <c r="J103" s="1">
        <v>1</v>
      </c>
      <c r="K103" s="1">
        <v>1</v>
      </c>
      <c r="L103" s="9">
        <v>4.32</v>
      </c>
      <c r="M103" s="9">
        <v>14.82</v>
      </c>
      <c r="N103" s="9">
        <v>183.64</v>
      </c>
      <c r="O103" s="9">
        <f>LN(373.78)</f>
        <v>5.9236673890421567</v>
      </c>
      <c r="P103" s="12">
        <v>2.5</v>
      </c>
      <c r="Q103" s="9">
        <v>14.445371765953407</v>
      </c>
      <c r="R103" s="9">
        <v>0.55555555555555558</v>
      </c>
      <c r="S103" s="9">
        <v>0.91928249926758465</v>
      </c>
    </row>
    <row r="104" spans="1:19" ht="15.6" x14ac:dyDescent="0.3">
      <c r="A104" s="13" t="s">
        <v>12</v>
      </c>
      <c r="B104" s="2" t="s">
        <v>65</v>
      </c>
      <c r="C104" s="1">
        <v>2022</v>
      </c>
      <c r="D104" s="4" t="s">
        <v>156</v>
      </c>
      <c r="E104" s="5">
        <v>64.099999999999994</v>
      </c>
      <c r="F104" s="5">
        <v>42.7</v>
      </c>
      <c r="G104" s="5">
        <v>71.3</v>
      </c>
      <c r="H104" s="5">
        <v>65.900000000000006</v>
      </c>
      <c r="I104">
        <v>2</v>
      </c>
      <c r="J104" s="1">
        <v>1</v>
      </c>
      <c r="K104" s="1">
        <v>1</v>
      </c>
      <c r="L104" s="9">
        <v>1.24</v>
      </c>
      <c r="M104" s="9">
        <v>2.23</v>
      </c>
      <c r="N104" s="9">
        <v>5.17</v>
      </c>
      <c r="O104" s="9">
        <f>LN(407.61)</f>
        <v>6.0103108349043417</v>
      </c>
      <c r="P104" s="12">
        <v>3.4</v>
      </c>
      <c r="Q104" s="9">
        <v>15.968848495845791</v>
      </c>
      <c r="R104" s="9">
        <v>0.5</v>
      </c>
      <c r="S104" s="9">
        <v>0.5685802226767509</v>
      </c>
    </row>
    <row r="105" spans="1:19" ht="15.6" x14ac:dyDescent="0.3">
      <c r="A105" s="13" t="s">
        <v>12</v>
      </c>
      <c r="B105" s="2" t="s">
        <v>65</v>
      </c>
      <c r="C105" s="1">
        <v>2023</v>
      </c>
      <c r="D105" s="4" t="s">
        <v>156</v>
      </c>
      <c r="E105" s="5">
        <v>67.900000000000006</v>
      </c>
      <c r="F105" s="5">
        <v>51.9</v>
      </c>
      <c r="G105" s="5">
        <v>70.099999999999994</v>
      </c>
      <c r="H105" s="5">
        <v>76</v>
      </c>
      <c r="I105">
        <v>2</v>
      </c>
      <c r="J105" s="1">
        <v>1</v>
      </c>
      <c r="K105" s="1">
        <v>1</v>
      </c>
      <c r="L105" s="9">
        <v>1.31</v>
      </c>
      <c r="M105" s="9">
        <v>4.26</v>
      </c>
      <c r="N105" s="9">
        <v>9.43</v>
      </c>
      <c r="O105" s="9">
        <f>LN(399.71)</f>
        <v>5.9907392841683871</v>
      </c>
      <c r="P105" s="12">
        <v>2.5</v>
      </c>
      <c r="Q105" s="9">
        <v>15.88660977400731</v>
      </c>
      <c r="R105" s="9">
        <v>0.58333333333333337</v>
      </c>
      <c r="S105" s="9">
        <v>0.54816936048338583</v>
      </c>
    </row>
    <row r="106" spans="1:19" ht="15.6" x14ac:dyDescent="0.3">
      <c r="A106" s="13" t="s">
        <v>13</v>
      </c>
      <c r="B106" s="2" t="s">
        <v>66</v>
      </c>
      <c r="C106" s="1">
        <v>2016</v>
      </c>
      <c r="D106" s="4" t="s">
        <v>160</v>
      </c>
      <c r="E106" s="5"/>
      <c r="F106" s="5"/>
      <c r="G106" s="5"/>
      <c r="H106" s="5"/>
      <c r="I106">
        <v>0</v>
      </c>
      <c r="J106" s="1">
        <v>0</v>
      </c>
      <c r="K106" s="1">
        <v>0</v>
      </c>
      <c r="L106" s="9">
        <v>0.54</v>
      </c>
      <c r="M106" s="9">
        <v>5.05</v>
      </c>
      <c r="N106" s="9">
        <v>12.77</v>
      </c>
      <c r="O106" s="9">
        <f>LN(301.26)</f>
        <v>5.7079736792746694</v>
      </c>
      <c r="P106" s="12">
        <v>2.1</v>
      </c>
      <c r="Q106" s="9">
        <v>12.116634690416163</v>
      </c>
      <c r="R106" s="9">
        <v>0.5</v>
      </c>
      <c r="S106" s="9">
        <v>0.60471105424601812</v>
      </c>
    </row>
    <row r="107" spans="1:19" ht="15.6" x14ac:dyDescent="0.3">
      <c r="A107" s="13" t="s">
        <v>13</v>
      </c>
      <c r="B107" s="2" t="s">
        <v>66</v>
      </c>
      <c r="C107" s="1">
        <v>2017</v>
      </c>
      <c r="D107" s="4" t="s">
        <v>160</v>
      </c>
      <c r="E107" s="5"/>
      <c r="F107" s="5"/>
      <c r="G107" s="5"/>
      <c r="H107" s="5"/>
      <c r="I107">
        <v>0</v>
      </c>
      <c r="J107" s="1">
        <v>0</v>
      </c>
      <c r="K107" s="1">
        <v>0</v>
      </c>
      <c r="L107" s="9">
        <v>0.7</v>
      </c>
      <c r="M107" s="9">
        <v>3.07</v>
      </c>
      <c r="N107" s="9">
        <v>7.43</v>
      </c>
      <c r="O107" s="9">
        <f>LN(319.11)</f>
        <v>5.7655358709316831</v>
      </c>
      <c r="P107" s="9">
        <v>3.9</v>
      </c>
      <c r="Q107" s="9">
        <v>12.381184944628412</v>
      </c>
      <c r="R107" s="9">
        <v>0.5</v>
      </c>
      <c r="S107" s="9">
        <v>0.58639560845406169</v>
      </c>
    </row>
    <row r="108" spans="1:19" ht="15.6" x14ac:dyDescent="0.3">
      <c r="A108" s="13" t="s">
        <v>13</v>
      </c>
      <c r="B108" s="2" t="s">
        <v>66</v>
      </c>
      <c r="C108" s="1">
        <v>2018</v>
      </c>
      <c r="D108" s="4" t="s">
        <v>160</v>
      </c>
      <c r="E108" s="5"/>
      <c r="F108" s="5"/>
      <c r="G108" s="5"/>
      <c r="H108" s="5"/>
      <c r="I108">
        <v>0</v>
      </c>
      <c r="J108" s="1">
        <v>0</v>
      </c>
      <c r="K108" s="1">
        <v>0</v>
      </c>
      <c r="L108" s="9">
        <v>0.35</v>
      </c>
      <c r="M108" s="9">
        <v>1.98</v>
      </c>
      <c r="N108" s="9">
        <v>5.49</v>
      </c>
      <c r="O108" s="9">
        <f>LN(358.79)</f>
        <v>5.8827372591162019</v>
      </c>
      <c r="P108" s="9">
        <v>0.9</v>
      </c>
      <c r="Q108" s="9">
        <v>12.541344161574868</v>
      </c>
      <c r="R108" s="9">
        <v>0.5</v>
      </c>
      <c r="S108" s="9">
        <v>0.63908475885348137</v>
      </c>
    </row>
    <row r="109" spans="1:19" ht="15.6" x14ac:dyDescent="0.3">
      <c r="A109" s="13" t="s">
        <v>13</v>
      </c>
      <c r="B109" s="2" t="s">
        <v>66</v>
      </c>
      <c r="C109" s="1">
        <v>2019</v>
      </c>
      <c r="D109" s="4" t="s">
        <v>160</v>
      </c>
      <c r="E109" s="5"/>
      <c r="F109" s="5"/>
      <c r="G109" s="5"/>
      <c r="H109" s="5"/>
      <c r="I109">
        <v>0</v>
      </c>
      <c r="J109" s="1">
        <v>0</v>
      </c>
      <c r="K109" s="1">
        <v>0</v>
      </c>
      <c r="L109" s="9">
        <v>0.34</v>
      </c>
      <c r="M109" s="9">
        <v>1.54</v>
      </c>
      <c r="N109" s="9">
        <v>4.28</v>
      </c>
      <c r="O109" s="9">
        <f>LN(365.18)</f>
        <v>5.9003903827085873</v>
      </c>
      <c r="P109" s="12">
        <v>0.7</v>
      </c>
      <c r="Q109" s="9">
        <v>12.563900924122731</v>
      </c>
      <c r="R109" s="9">
        <v>0.5</v>
      </c>
      <c r="S109" s="9">
        <v>0.6394086224496931</v>
      </c>
    </row>
    <row r="110" spans="1:19" ht="15.6" x14ac:dyDescent="0.3">
      <c r="A110" s="13" t="s">
        <v>13</v>
      </c>
      <c r="B110" s="2" t="s">
        <v>66</v>
      </c>
      <c r="C110" s="1">
        <v>2020</v>
      </c>
      <c r="D110" s="4" t="s">
        <v>160</v>
      </c>
      <c r="E110" s="5"/>
      <c r="F110" s="5"/>
      <c r="G110" s="5"/>
      <c r="H110" s="5"/>
      <c r="I110">
        <v>1.3</v>
      </c>
      <c r="J110" s="1">
        <v>0.5</v>
      </c>
      <c r="K110" s="1">
        <v>0.8</v>
      </c>
      <c r="L110" s="9">
        <v>0.73</v>
      </c>
      <c r="M110" s="9">
        <v>1.98</v>
      </c>
      <c r="N110" s="9">
        <v>4.7699999999999996</v>
      </c>
      <c r="O110" s="9">
        <f>LN(337.46)</f>
        <v>5.8214469847701915</v>
      </c>
      <c r="P110" s="12">
        <v>-0.1</v>
      </c>
      <c r="Q110" s="9">
        <v>12.495108800797885</v>
      </c>
      <c r="R110" s="9">
        <v>0.66666666666666663</v>
      </c>
      <c r="S110" s="9">
        <v>0.58445556271252452</v>
      </c>
    </row>
    <row r="111" spans="1:19" ht="15.6" x14ac:dyDescent="0.3">
      <c r="A111" s="13" t="s">
        <v>13</v>
      </c>
      <c r="B111" s="2" t="s">
        <v>66</v>
      </c>
      <c r="C111" s="1">
        <v>2021</v>
      </c>
      <c r="D111" s="4" t="s">
        <v>160</v>
      </c>
      <c r="E111" s="5">
        <v>26.6</v>
      </c>
      <c r="F111" s="5">
        <v>30.3</v>
      </c>
      <c r="G111" s="5">
        <v>26.6</v>
      </c>
      <c r="H111" s="5">
        <v>21.4</v>
      </c>
      <c r="I111">
        <v>1.6</v>
      </c>
      <c r="J111" s="1">
        <v>1</v>
      </c>
      <c r="K111" s="1">
        <v>0.6</v>
      </c>
      <c r="L111" s="9">
        <v>1.3</v>
      </c>
      <c r="M111" s="9">
        <v>1.73</v>
      </c>
      <c r="N111" s="9">
        <v>4.9400000000000004</v>
      </c>
      <c r="O111" s="9">
        <f>LN(373.78)</f>
        <v>5.9236673890421567</v>
      </c>
      <c r="P111" s="12">
        <v>2.5</v>
      </c>
      <c r="Q111" s="9">
        <v>12.962112462251808</v>
      </c>
      <c r="R111" s="9">
        <v>0.66666666666666663</v>
      </c>
      <c r="S111" s="9">
        <v>0.65063092038078241</v>
      </c>
    </row>
    <row r="112" spans="1:19" ht="15.6" x14ac:dyDescent="0.3">
      <c r="A112" s="13" t="s">
        <v>13</v>
      </c>
      <c r="B112" s="2" t="s">
        <v>66</v>
      </c>
      <c r="C112" s="1">
        <v>2022</v>
      </c>
      <c r="D112" s="4" t="s">
        <v>160</v>
      </c>
      <c r="E112" s="5">
        <v>30.4</v>
      </c>
      <c r="F112" s="5">
        <v>33.9</v>
      </c>
      <c r="G112" s="5">
        <v>32.200000000000003</v>
      </c>
      <c r="H112" s="5">
        <v>23</v>
      </c>
      <c r="I112">
        <v>1.1000000000000001</v>
      </c>
      <c r="J112" s="1">
        <v>0.5</v>
      </c>
      <c r="K112" s="1">
        <v>0.6</v>
      </c>
      <c r="L112" s="9">
        <v>2.79</v>
      </c>
      <c r="M112" s="9">
        <v>4.72</v>
      </c>
      <c r="N112" s="9">
        <v>14.45</v>
      </c>
      <c r="O112" s="9">
        <f>LN(407.61)</f>
        <v>6.0103108349043417</v>
      </c>
      <c r="P112" s="12">
        <v>3.4</v>
      </c>
      <c r="Q112" s="9">
        <v>13.049663643986051</v>
      </c>
      <c r="R112" s="9">
        <v>0.66666666666666663</v>
      </c>
      <c r="S112" s="9">
        <v>0.67330193143201278</v>
      </c>
    </row>
    <row r="113" spans="1:19" ht="15.6" x14ac:dyDescent="0.3">
      <c r="A113" s="13" t="s">
        <v>13</v>
      </c>
      <c r="B113" s="2" t="s">
        <v>66</v>
      </c>
      <c r="C113" s="1">
        <v>2023</v>
      </c>
      <c r="D113" s="4" t="s">
        <v>160</v>
      </c>
      <c r="E113" s="5">
        <v>26.6</v>
      </c>
      <c r="F113" s="5">
        <v>30.3</v>
      </c>
      <c r="G113" s="5">
        <v>26.6</v>
      </c>
      <c r="H113" s="5">
        <v>21.4</v>
      </c>
      <c r="I113">
        <v>1.3</v>
      </c>
      <c r="J113" s="1">
        <v>0.5</v>
      </c>
      <c r="K113" s="1">
        <v>0.8</v>
      </c>
      <c r="L113" s="9">
        <v>1.97</v>
      </c>
      <c r="M113" s="9">
        <v>4.5999999999999996</v>
      </c>
      <c r="N113" s="9">
        <v>11.67</v>
      </c>
      <c r="O113" s="9">
        <f>LN(399.71)</f>
        <v>5.9907392841683871</v>
      </c>
      <c r="P113" s="12">
        <v>2.5</v>
      </c>
      <c r="Q113" s="9">
        <v>13.444551218955674</v>
      </c>
      <c r="R113" s="9">
        <v>0.66666666666666663</v>
      </c>
      <c r="S113" s="9">
        <v>0.6061295053269804</v>
      </c>
    </row>
    <row r="114" spans="1:19" ht="15.6" x14ac:dyDescent="0.3">
      <c r="A114" s="1" t="s">
        <v>14</v>
      </c>
      <c r="B114" s="2" t="s">
        <v>67</v>
      </c>
      <c r="C114" s="1">
        <v>2016</v>
      </c>
      <c r="D114" s="4" t="s">
        <v>155</v>
      </c>
      <c r="E114" s="5"/>
      <c r="F114" s="5"/>
      <c r="G114" s="5"/>
      <c r="H114" s="5"/>
      <c r="I114">
        <v>2</v>
      </c>
      <c r="J114" s="1">
        <v>1</v>
      </c>
      <c r="K114" s="1">
        <v>1</v>
      </c>
      <c r="L114" s="9">
        <v>0.08</v>
      </c>
      <c r="M114" s="9">
        <v>0.75</v>
      </c>
      <c r="N114" s="9">
        <v>7.72</v>
      </c>
      <c r="O114" s="9">
        <f>LN(301.26)</f>
        <v>5.7079736792746694</v>
      </c>
      <c r="P114" s="12">
        <v>2.1</v>
      </c>
      <c r="Q114" s="9">
        <v>18.500277983188798</v>
      </c>
      <c r="R114" s="9">
        <v>0.46153846153846156</v>
      </c>
      <c r="S114" s="9">
        <v>0.90308281145090297</v>
      </c>
    </row>
    <row r="115" spans="1:19" ht="15.6" x14ac:dyDescent="0.3">
      <c r="A115" s="1" t="s">
        <v>14</v>
      </c>
      <c r="B115" s="2" t="s">
        <v>67</v>
      </c>
      <c r="C115" s="1">
        <v>2017</v>
      </c>
      <c r="D115" s="4" t="s">
        <v>155</v>
      </c>
      <c r="E115" s="5"/>
      <c r="F115" s="5"/>
      <c r="G115" s="5"/>
      <c r="H115" s="5"/>
      <c r="I115">
        <v>1.5</v>
      </c>
      <c r="J115" s="1">
        <v>0.5</v>
      </c>
      <c r="K115" s="1">
        <v>1</v>
      </c>
      <c r="L115" s="9">
        <v>0.12</v>
      </c>
      <c r="M115" s="9">
        <v>0.91</v>
      </c>
      <c r="N115" s="9">
        <v>9.25</v>
      </c>
      <c r="O115" s="9">
        <f>LN(319.11)</f>
        <v>5.7655358709316831</v>
      </c>
      <c r="P115" s="9">
        <v>3.9</v>
      </c>
      <c r="Q115" s="9">
        <v>18.641358473625665</v>
      </c>
      <c r="R115" s="9">
        <v>0.5</v>
      </c>
      <c r="S115" s="9">
        <v>0.90166539109855126</v>
      </c>
    </row>
    <row r="116" spans="1:19" ht="15.6" x14ac:dyDescent="0.3">
      <c r="A116" s="1" t="s">
        <v>14</v>
      </c>
      <c r="B116" s="2" t="s">
        <v>67</v>
      </c>
      <c r="C116" s="1">
        <v>2018</v>
      </c>
      <c r="D116" s="4" t="s">
        <v>155</v>
      </c>
      <c r="E116" s="5"/>
      <c r="F116" s="5"/>
      <c r="G116" s="5"/>
      <c r="H116" s="5"/>
      <c r="I116">
        <v>1.3</v>
      </c>
      <c r="J116" s="1">
        <v>0.5</v>
      </c>
      <c r="K116" s="1">
        <v>0.8</v>
      </c>
      <c r="L116" s="9">
        <v>0.1</v>
      </c>
      <c r="M116" s="9">
        <v>1.06</v>
      </c>
      <c r="N116" s="9">
        <v>10.77</v>
      </c>
      <c r="O116" s="9">
        <f>LN(358.79)</f>
        <v>5.8827372591162019</v>
      </c>
      <c r="P116" s="9">
        <v>0.9</v>
      </c>
      <c r="Q116" s="9">
        <v>18.675739735928879</v>
      </c>
      <c r="R116" s="9">
        <v>0.46666666666666667</v>
      </c>
      <c r="S116" s="9">
        <v>0.90153707630791891</v>
      </c>
    </row>
    <row r="117" spans="1:19" ht="15.6" x14ac:dyDescent="0.3">
      <c r="A117" s="1" t="s">
        <v>14</v>
      </c>
      <c r="B117" s="2" t="s">
        <v>67</v>
      </c>
      <c r="C117" s="1">
        <v>2019</v>
      </c>
      <c r="D117" s="4" t="s">
        <v>155</v>
      </c>
      <c r="E117" s="5"/>
      <c r="F117" s="5"/>
      <c r="G117" s="5"/>
      <c r="H117" s="5"/>
      <c r="I117">
        <v>1.5</v>
      </c>
      <c r="J117" s="1">
        <v>0.5</v>
      </c>
      <c r="K117" s="1">
        <v>1</v>
      </c>
      <c r="L117" s="9">
        <v>0.09</v>
      </c>
      <c r="M117" s="9">
        <v>0.78</v>
      </c>
      <c r="N117" s="9">
        <v>7.75</v>
      </c>
      <c r="O117" s="9">
        <f>LN(365.18)</f>
        <v>5.9003903827085873</v>
      </c>
      <c r="P117" s="12">
        <v>0.7</v>
      </c>
      <c r="Q117" s="9">
        <v>18.757668868908876</v>
      </c>
      <c r="R117" s="9">
        <v>0.5</v>
      </c>
      <c r="S117" s="9">
        <v>0.89974791079771599</v>
      </c>
    </row>
    <row r="118" spans="1:19" ht="15.6" x14ac:dyDescent="0.3">
      <c r="A118" s="1" t="s">
        <v>14</v>
      </c>
      <c r="B118" s="2" t="s">
        <v>67</v>
      </c>
      <c r="C118" s="1">
        <v>2020</v>
      </c>
      <c r="D118" s="4" t="s">
        <v>155</v>
      </c>
      <c r="E118" s="5"/>
      <c r="F118" s="5"/>
      <c r="G118" s="5"/>
      <c r="H118" s="5"/>
      <c r="I118">
        <v>1.8</v>
      </c>
      <c r="J118" s="1">
        <v>1</v>
      </c>
      <c r="K118" s="1">
        <v>0.8</v>
      </c>
      <c r="L118" s="9">
        <v>7.0000000000000007E-2</v>
      </c>
      <c r="M118" s="9">
        <v>0.19</v>
      </c>
      <c r="N118" s="9">
        <v>2.0099999999999998</v>
      </c>
      <c r="O118" s="9">
        <f>LN(337.46)</f>
        <v>5.8214469847701915</v>
      </c>
      <c r="P118" s="12">
        <v>-0.1</v>
      </c>
      <c r="Q118" s="9">
        <v>18.826818292588378</v>
      </c>
      <c r="R118" s="9">
        <v>0.47058823529411764</v>
      </c>
      <c r="S118" s="9">
        <v>0.90508232795406285</v>
      </c>
    </row>
    <row r="119" spans="1:19" ht="15.6" x14ac:dyDescent="0.3">
      <c r="A119" s="1" t="s">
        <v>14</v>
      </c>
      <c r="B119" s="2" t="s">
        <v>67</v>
      </c>
      <c r="C119" s="1">
        <v>2021</v>
      </c>
      <c r="D119" s="4" t="s">
        <v>155</v>
      </c>
      <c r="E119" s="5">
        <v>85.4</v>
      </c>
      <c r="F119" s="5">
        <v>85.2</v>
      </c>
      <c r="G119" s="5">
        <v>85.2</v>
      </c>
      <c r="H119" s="5">
        <v>85.5</v>
      </c>
      <c r="I119">
        <v>2</v>
      </c>
      <c r="J119" s="1">
        <v>1</v>
      </c>
      <c r="K119" s="1">
        <v>1</v>
      </c>
      <c r="L119" s="9">
        <v>0.09</v>
      </c>
      <c r="M119" s="9">
        <v>0.71</v>
      </c>
      <c r="N119" s="9">
        <v>7.31</v>
      </c>
      <c r="O119" s="9">
        <f>LN(373.78)</f>
        <v>5.9236673890421567</v>
      </c>
      <c r="P119" s="12">
        <v>2.5</v>
      </c>
      <c r="Q119" s="9">
        <v>18.818947344865204</v>
      </c>
      <c r="R119" s="9">
        <v>0.5</v>
      </c>
      <c r="S119" s="9">
        <v>0.90334769924177682</v>
      </c>
    </row>
    <row r="120" spans="1:19" ht="15.6" x14ac:dyDescent="0.3">
      <c r="A120" s="1" t="s">
        <v>14</v>
      </c>
      <c r="B120" s="2" t="s">
        <v>67</v>
      </c>
      <c r="C120" s="1">
        <v>2022</v>
      </c>
      <c r="D120" s="4" t="s">
        <v>155</v>
      </c>
      <c r="E120" s="5">
        <v>85.6</v>
      </c>
      <c r="F120" s="5">
        <v>83.8</v>
      </c>
      <c r="G120" s="5">
        <v>85.9</v>
      </c>
      <c r="H120" s="5">
        <v>86.1</v>
      </c>
      <c r="I120">
        <v>2</v>
      </c>
      <c r="J120" s="1">
        <v>1</v>
      </c>
      <c r="K120" s="1">
        <v>1</v>
      </c>
      <c r="L120" s="9">
        <v>0.09</v>
      </c>
      <c r="M120" s="9">
        <v>0.84</v>
      </c>
      <c r="N120" s="9">
        <v>8.77</v>
      </c>
      <c r="O120" s="9">
        <f>LN(407.61)</f>
        <v>6.0103108349043417</v>
      </c>
      <c r="P120" s="12">
        <v>3.4</v>
      </c>
      <c r="Q120" s="9">
        <v>18.83332786620959</v>
      </c>
      <c r="R120" s="9">
        <v>0.47368421052631576</v>
      </c>
      <c r="S120" s="9">
        <v>0.90433204850531346</v>
      </c>
    </row>
    <row r="121" spans="1:19" ht="15.6" x14ac:dyDescent="0.3">
      <c r="A121" s="1" t="s">
        <v>14</v>
      </c>
      <c r="B121" s="2" t="s">
        <v>67</v>
      </c>
      <c r="C121" s="1">
        <v>2023</v>
      </c>
      <c r="D121" s="4" t="s">
        <v>155</v>
      </c>
      <c r="E121" s="5">
        <v>85.4</v>
      </c>
      <c r="F121" s="5">
        <v>85.2</v>
      </c>
      <c r="G121" s="5">
        <v>85.2</v>
      </c>
      <c r="H121" s="5">
        <v>85.5</v>
      </c>
      <c r="I121">
        <v>2</v>
      </c>
      <c r="J121" s="1">
        <v>1</v>
      </c>
      <c r="K121" s="1">
        <v>1</v>
      </c>
      <c r="L121" s="9">
        <v>0.09</v>
      </c>
      <c r="M121" s="9">
        <v>0.98</v>
      </c>
      <c r="N121" s="9">
        <v>10.26</v>
      </c>
      <c r="O121" s="9">
        <f>LN(399.71)</f>
        <v>5.9907392841683871</v>
      </c>
      <c r="P121" s="12">
        <v>2.5</v>
      </c>
      <c r="Q121" s="9">
        <v>18.8892297407331</v>
      </c>
      <c r="R121" s="9">
        <v>0.5</v>
      </c>
      <c r="S121" s="9">
        <v>0.90479615156601256</v>
      </c>
    </row>
    <row r="122" spans="1:19" ht="15.6" x14ac:dyDescent="0.3">
      <c r="A122" s="13" t="s">
        <v>15</v>
      </c>
      <c r="B122" s="2" t="s">
        <v>68</v>
      </c>
      <c r="C122" s="1">
        <v>2016</v>
      </c>
      <c r="D122" s="4" t="s">
        <v>161</v>
      </c>
      <c r="E122" s="5">
        <v>42</v>
      </c>
      <c r="F122" s="5">
        <v>55.2</v>
      </c>
      <c r="G122" s="5">
        <v>36.6</v>
      </c>
      <c r="H122" s="5">
        <v>36.9</v>
      </c>
      <c r="I122">
        <v>1.3</v>
      </c>
      <c r="J122" s="1">
        <v>0.5</v>
      </c>
      <c r="K122" s="1">
        <v>0.8</v>
      </c>
      <c r="L122" s="9"/>
      <c r="M122" s="9">
        <v>14.72</v>
      </c>
      <c r="N122" s="11"/>
      <c r="O122" s="9">
        <f>LN(301.26)</f>
        <v>5.7079736792746694</v>
      </c>
      <c r="P122" s="12">
        <v>2.1</v>
      </c>
      <c r="Q122" s="9">
        <v>9.6584817543647841</v>
      </c>
      <c r="R122" s="9">
        <v>0.33333333333333331</v>
      </c>
      <c r="S122" s="9">
        <v>0.41165197393637409</v>
      </c>
    </row>
    <row r="123" spans="1:19" ht="15.6" x14ac:dyDescent="0.3">
      <c r="A123" s="1" t="s">
        <v>15</v>
      </c>
      <c r="B123" s="2" t="s">
        <v>68</v>
      </c>
      <c r="C123" s="1">
        <v>2017</v>
      </c>
      <c r="D123" s="4" t="s">
        <v>161</v>
      </c>
      <c r="E123" s="5">
        <v>37.1</v>
      </c>
      <c r="F123" s="5">
        <v>51.8</v>
      </c>
      <c r="G123" s="5">
        <v>36.1</v>
      </c>
      <c r="H123" s="5">
        <v>22.8</v>
      </c>
      <c r="I123">
        <v>1.1000000000000001</v>
      </c>
      <c r="J123" s="1">
        <v>0.5</v>
      </c>
      <c r="K123" s="1">
        <v>0.6</v>
      </c>
      <c r="L123" s="9"/>
      <c r="M123" s="9">
        <v>30.81</v>
      </c>
      <c r="N123" s="9">
        <v>36.43</v>
      </c>
      <c r="O123" s="9">
        <f>LN(319.11)</f>
        <v>5.7655358709316831</v>
      </c>
      <c r="P123" s="9">
        <v>3.9</v>
      </c>
      <c r="Q123" s="9">
        <v>9.8542973083453571</v>
      </c>
      <c r="R123" s="9">
        <v>0.33333333333333331</v>
      </c>
      <c r="S123" s="9">
        <v>0.154359243697479</v>
      </c>
    </row>
    <row r="124" spans="1:19" ht="15.6" x14ac:dyDescent="0.3">
      <c r="A124" s="1" t="s">
        <v>15</v>
      </c>
      <c r="B124" s="2" t="s">
        <v>68</v>
      </c>
      <c r="C124" s="1">
        <v>2018</v>
      </c>
      <c r="D124" s="4" t="s">
        <v>161</v>
      </c>
      <c r="E124" s="5">
        <v>48.3</v>
      </c>
      <c r="F124" s="5">
        <v>64.2</v>
      </c>
      <c r="G124" s="5">
        <v>56.5</v>
      </c>
      <c r="H124" s="5">
        <v>16.600000000000001</v>
      </c>
      <c r="I124">
        <v>1.3</v>
      </c>
      <c r="J124" s="1">
        <v>0.5</v>
      </c>
      <c r="K124" s="1">
        <v>0.8</v>
      </c>
      <c r="L124" s="9"/>
      <c r="M124" s="9">
        <v>33.47</v>
      </c>
      <c r="N124" s="9">
        <v>49.66</v>
      </c>
      <c r="O124" s="9">
        <f>LN(358.79)</f>
        <v>5.8827372591162019</v>
      </c>
      <c r="P124" s="9">
        <v>0.9</v>
      </c>
      <c r="Q124" s="9">
        <v>9.971706791513272</v>
      </c>
      <c r="R124" s="9">
        <v>0.33333333333333331</v>
      </c>
      <c r="S124" s="9">
        <v>0.32607883429852419</v>
      </c>
    </row>
    <row r="125" spans="1:19" ht="15.6" x14ac:dyDescent="0.3">
      <c r="A125" s="1" t="s">
        <v>15</v>
      </c>
      <c r="B125" s="2" t="s">
        <v>68</v>
      </c>
      <c r="C125" s="1">
        <v>2019</v>
      </c>
      <c r="D125" s="4" t="s">
        <v>161</v>
      </c>
      <c r="E125" s="5">
        <v>49.4</v>
      </c>
      <c r="F125" s="5">
        <v>66</v>
      </c>
      <c r="G125" s="5">
        <v>55</v>
      </c>
      <c r="H125" s="5">
        <v>21.5</v>
      </c>
      <c r="I125">
        <v>1.5</v>
      </c>
      <c r="J125" s="1">
        <v>0.5</v>
      </c>
      <c r="K125" s="1">
        <v>1</v>
      </c>
      <c r="L125" s="9"/>
      <c r="M125" s="9">
        <v>27.44</v>
      </c>
      <c r="N125" s="9">
        <v>49.21</v>
      </c>
      <c r="O125" s="9">
        <f>LN(365.18)</f>
        <v>5.9003903827085873</v>
      </c>
      <c r="P125" s="12">
        <v>0.7</v>
      </c>
      <c r="Q125" s="9">
        <v>10.455762174214657</v>
      </c>
      <c r="R125" s="9">
        <v>0.42857142857142855</v>
      </c>
      <c r="S125" s="9">
        <v>0.44243610407552381</v>
      </c>
    </row>
    <row r="126" spans="1:19" ht="15.6" x14ac:dyDescent="0.3">
      <c r="A126" s="1" t="s">
        <v>15</v>
      </c>
      <c r="B126" s="2" t="s">
        <v>68</v>
      </c>
      <c r="C126" s="1">
        <v>2020</v>
      </c>
      <c r="D126" s="4" t="s">
        <v>161</v>
      </c>
      <c r="E126" s="5">
        <v>53.4</v>
      </c>
      <c r="F126" s="5">
        <v>63</v>
      </c>
      <c r="G126" s="5">
        <v>53.7</v>
      </c>
      <c r="H126" s="5">
        <v>42.2</v>
      </c>
      <c r="I126">
        <v>1.5</v>
      </c>
      <c r="J126" s="1">
        <v>0.5</v>
      </c>
      <c r="K126" s="1">
        <v>1</v>
      </c>
      <c r="L126" s="9"/>
      <c r="M126" s="9">
        <v>13.76</v>
      </c>
      <c r="N126" s="9">
        <v>32.82</v>
      </c>
      <c r="O126" s="9">
        <f>LN(337.46)</f>
        <v>5.8214469847701915</v>
      </c>
      <c r="P126" s="12">
        <v>-0.1</v>
      </c>
      <c r="Q126" s="9">
        <v>11.138551964339738</v>
      </c>
      <c r="R126" s="9">
        <v>0.42857142857142855</v>
      </c>
      <c r="S126" s="9">
        <v>0.58067236666085031</v>
      </c>
    </row>
    <row r="127" spans="1:19" ht="15.6" x14ac:dyDescent="0.3">
      <c r="A127" s="1" t="s">
        <v>15</v>
      </c>
      <c r="B127" s="2" t="s">
        <v>68</v>
      </c>
      <c r="C127" s="1">
        <v>2021</v>
      </c>
      <c r="D127" s="4" t="s">
        <v>161</v>
      </c>
      <c r="E127" s="5">
        <v>35.9</v>
      </c>
      <c r="F127" s="5">
        <v>12.6</v>
      </c>
      <c r="G127" s="5">
        <v>32.200000000000003</v>
      </c>
      <c r="H127" s="5">
        <v>56.8</v>
      </c>
      <c r="I127">
        <v>2</v>
      </c>
      <c r="J127" s="1">
        <v>1</v>
      </c>
      <c r="K127" s="1">
        <v>1</v>
      </c>
      <c r="L127" s="9">
        <v>11.04</v>
      </c>
      <c r="M127" s="9">
        <v>11.96</v>
      </c>
      <c r="N127" s="9">
        <v>14.01</v>
      </c>
      <c r="O127" s="9">
        <f>LN(373.78)</f>
        <v>5.9236673890421567</v>
      </c>
      <c r="P127" s="12">
        <v>2.5</v>
      </c>
      <c r="Q127" s="9">
        <v>11.36612934064356</v>
      </c>
      <c r="R127" s="9">
        <v>0.5</v>
      </c>
      <c r="S127" s="9">
        <v>0.14615446975575294</v>
      </c>
    </row>
    <row r="128" spans="1:19" ht="15.6" x14ac:dyDescent="0.3">
      <c r="A128" s="1" t="s">
        <v>15</v>
      </c>
      <c r="B128" s="2" t="s">
        <v>68</v>
      </c>
      <c r="C128" s="1">
        <v>2022</v>
      </c>
      <c r="D128" s="4" t="s">
        <v>161</v>
      </c>
      <c r="E128" s="5">
        <v>48.5</v>
      </c>
      <c r="F128" s="5">
        <v>20</v>
      </c>
      <c r="G128" s="5">
        <v>44.5</v>
      </c>
      <c r="H128" s="5">
        <v>73.599999999999994</v>
      </c>
      <c r="I128">
        <v>2</v>
      </c>
      <c r="J128" s="1">
        <v>1</v>
      </c>
      <c r="K128" s="1">
        <v>1</v>
      </c>
      <c r="L128" s="9">
        <v>4.46</v>
      </c>
      <c r="M128" s="9">
        <v>9.75</v>
      </c>
      <c r="N128" s="9">
        <v>13.99</v>
      </c>
      <c r="O128" s="9">
        <f>LN(407.61)</f>
        <v>6.0103108349043417</v>
      </c>
      <c r="P128" s="12">
        <v>3.4</v>
      </c>
      <c r="Q128" s="9">
        <v>12.023399026769678</v>
      </c>
      <c r="R128" s="9">
        <v>0.5</v>
      </c>
      <c r="S128" s="9">
        <v>0.3026685393258427</v>
      </c>
    </row>
    <row r="129" spans="1:19" ht="15.6" x14ac:dyDescent="0.3">
      <c r="A129" s="1" t="s">
        <v>15</v>
      </c>
      <c r="B129" s="2" t="s">
        <v>68</v>
      </c>
      <c r="C129" s="1">
        <v>2023</v>
      </c>
      <c r="D129" s="4" t="s">
        <v>161</v>
      </c>
      <c r="E129" s="5">
        <v>35.9</v>
      </c>
      <c r="F129" s="5">
        <v>12.6</v>
      </c>
      <c r="G129" s="5">
        <v>32.200000000000003</v>
      </c>
      <c r="H129" s="5">
        <v>56.8</v>
      </c>
      <c r="I129">
        <v>2</v>
      </c>
      <c r="J129" s="1">
        <v>1</v>
      </c>
      <c r="K129" s="1">
        <v>1</v>
      </c>
      <c r="L129" s="9">
        <v>4.04</v>
      </c>
      <c r="M129" s="9">
        <v>14.66</v>
      </c>
      <c r="N129" s="9">
        <v>19.87</v>
      </c>
      <c r="O129" s="9">
        <f>LN(399.71)</f>
        <v>5.9907392841683871</v>
      </c>
      <c r="P129" s="12">
        <v>2.5</v>
      </c>
      <c r="Q129" s="9">
        <v>12.075172074970819</v>
      </c>
      <c r="R129" s="9">
        <v>0.5</v>
      </c>
      <c r="S129" s="9">
        <v>0.26232610095690778</v>
      </c>
    </row>
    <row r="130" spans="1:19" ht="15.6" x14ac:dyDescent="0.3">
      <c r="A130" s="13" t="s">
        <v>16</v>
      </c>
      <c r="B130" s="2" t="s">
        <v>69</v>
      </c>
      <c r="C130" s="1">
        <v>2016</v>
      </c>
      <c r="D130" s="4" t="s">
        <v>161</v>
      </c>
      <c r="E130" s="5">
        <v>61.6</v>
      </c>
      <c r="F130" s="5">
        <v>54.5</v>
      </c>
      <c r="G130" s="5">
        <v>59.9</v>
      </c>
      <c r="H130" s="5">
        <v>70.400000000000006</v>
      </c>
      <c r="I130">
        <v>1.5</v>
      </c>
      <c r="J130" s="1">
        <v>0.5</v>
      </c>
      <c r="K130" s="1">
        <v>1</v>
      </c>
      <c r="L130" s="9">
        <v>0.64</v>
      </c>
      <c r="M130" s="9">
        <v>2.41</v>
      </c>
      <c r="N130" s="9">
        <v>3.91</v>
      </c>
      <c r="O130" s="9">
        <f>LN(301.26)</f>
        <v>5.7079736792746694</v>
      </c>
      <c r="P130" s="12">
        <v>2.1</v>
      </c>
      <c r="Q130" s="9">
        <v>11.553683457442396</v>
      </c>
      <c r="R130" s="9">
        <v>0.5714285714285714</v>
      </c>
      <c r="S130" s="9">
        <v>0.3828437019969278</v>
      </c>
    </row>
    <row r="131" spans="1:19" ht="15.6" x14ac:dyDescent="0.3">
      <c r="A131" s="13" t="s">
        <v>16</v>
      </c>
      <c r="B131" s="2" t="s">
        <v>69</v>
      </c>
      <c r="C131" s="1">
        <v>2017</v>
      </c>
      <c r="D131" s="4" t="s">
        <v>161</v>
      </c>
      <c r="E131" s="5">
        <v>73.2</v>
      </c>
      <c r="F131" s="5">
        <v>67.8</v>
      </c>
      <c r="G131" s="5">
        <v>71.8</v>
      </c>
      <c r="H131" s="5">
        <v>80.099999999999994</v>
      </c>
      <c r="I131">
        <v>1.8</v>
      </c>
      <c r="J131" s="1">
        <v>1</v>
      </c>
      <c r="K131" s="1">
        <v>0.8</v>
      </c>
      <c r="L131" s="9">
        <v>1.54</v>
      </c>
      <c r="M131" s="9">
        <v>4.59</v>
      </c>
      <c r="N131" s="9">
        <v>7.05</v>
      </c>
      <c r="O131" s="9">
        <f>LN(319.11)</f>
        <v>5.7655358709316831</v>
      </c>
      <c r="P131" s="9">
        <v>3.9</v>
      </c>
      <c r="Q131" s="9">
        <v>11.694671856388286</v>
      </c>
      <c r="R131" s="9">
        <v>0.5714285714285714</v>
      </c>
      <c r="S131" s="9">
        <v>0.34881723657769886</v>
      </c>
    </row>
    <row r="132" spans="1:19" ht="15.6" x14ac:dyDescent="0.3">
      <c r="A132" s="13" t="s">
        <v>16</v>
      </c>
      <c r="B132" s="2" t="s">
        <v>69</v>
      </c>
      <c r="C132" s="1">
        <v>2018</v>
      </c>
      <c r="D132" s="4" t="s">
        <v>161</v>
      </c>
      <c r="E132" s="5">
        <v>66.099999999999994</v>
      </c>
      <c r="F132" s="5">
        <v>63.7</v>
      </c>
      <c r="G132" s="5">
        <v>65.2</v>
      </c>
      <c r="H132" s="5">
        <v>69.400000000000006</v>
      </c>
      <c r="I132">
        <v>2</v>
      </c>
      <c r="J132" s="1">
        <v>1</v>
      </c>
      <c r="K132" s="1">
        <v>1</v>
      </c>
      <c r="L132" s="9">
        <v>1.41</v>
      </c>
      <c r="M132" s="9">
        <v>6.08</v>
      </c>
      <c r="N132" s="9">
        <v>9.67</v>
      </c>
      <c r="O132" s="9">
        <f>LN(358.79)</f>
        <v>5.8827372591162019</v>
      </c>
      <c r="P132" s="9">
        <v>0.9</v>
      </c>
      <c r="Q132" s="9">
        <v>11.816320932841501</v>
      </c>
      <c r="R132" s="9">
        <v>0.5714285714285714</v>
      </c>
      <c r="S132" s="9">
        <v>0.37144966591605449</v>
      </c>
    </row>
    <row r="133" spans="1:19" ht="15.6" x14ac:dyDescent="0.3">
      <c r="A133" s="13" t="s">
        <v>16</v>
      </c>
      <c r="B133" s="2" t="s">
        <v>69</v>
      </c>
      <c r="C133" s="1">
        <v>2019</v>
      </c>
      <c r="D133" s="4" t="s">
        <v>161</v>
      </c>
      <c r="E133" s="5">
        <v>68.5</v>
      </c>
      <c r="F133" s="5">
        <v>75.5</v>
      </c>
      <c r="G133" s="5">
        <v>61</v>
      </c>
      <c r="H133" s="5">
        <v>70.099999999999994</v>
      </c>
      <c r="I133">
        <v>1.3</v>
      </c>
      <c r="J133" s="1">
        <v>0.5</v>
      </c>
      <c r="K133" s="1">
        <v>0.8</v>
      </c>
      <c r="L133" s="9">
        <v>1.5</v>
      </c>
      <c r="M133" s="9">
        <v>4.9000000000000004</v>
      </c>
      <c r="N133" s="9">
        <v>8.0299999999999994</v>
      </c>
      <c r="O133" s="9">
        <f>LN(365.18)</f>
        <v>5.9003903827085873</v>
      </c>
      <c r="P133" s="12">
        <v>0.7</v>
      </c>
      <c r="Q133" s="9">
        <v>11.952244345834902</v>
      </c>
      <c r="R133" s="9">
        <v>0.5714285714285714</v>
      </c>
      <c r="S133" s="9">
        <v>0.39037798472593693</v>
      </c>
    </row>
    <row r="134" spans="1:19" ht="15.6" x14ac:dyDescent="0.3">
      <c r="A134" s="13" t="s">
        <v>16</v>
      </c>
      <c r="B134" s="2" t="s">
        <v>69</v>
      </c>
      <c r="C134" s="1">
        <v>2020</v>
      </c>
      <c r="D134" s="4" t="s">
        <v>161</v>
      </c>
      <c r="E134" s="5">
        <v>70.400000000000006</v>
      </c>
      <c r="F134" s="5">
        <v>74.7</v>
      </c>
      <c r="G134" s="5">
        <v>77.400000000000006</v>
      </c>
      <c r="H134" s="5">
        <v>58.6</v>
      </c>
      <c r="I134">
        <v>1.3</v>
      </c>
      <c r="J134" s="1">
        <v>0.5</v>
      </c>
      <c r="K134" s="1">
        <v>0.8</v>
      </c>
      <c r="L134" s="9">
        <v>3.42</v>
      </c>
      <c r="M134" s="9">
        <v>6.13</v>
      </c>
      <c r="N134" s="9">
        <v>10.48</v>
      </c>
      <c r="O134" s="9">
        <f>LN(337.46)</f>
        <v>5.8214469847701915</v>
      </c>
      <c r="P134" s="12">
        <v>-0.1</v>
      </c>
      <c r="Q134" s="9">
        <v>12.164818265878273</v>
      </c>
      <c r="R134" s="9">
        <v>0.5</v>
      </c>
      <c r="S134" s="9">
        <v>0.41537748089017651</v>
      </c>
    </row>
    <row r="135" spans="1:19" ht="15.6" x14ac:dyDescent="0.3">
      <c r="A135" s="13" t="s">
        <v>16</v>
      </c>
      <c r="B135" s="2" t="s">
        <v>69</v>
      </c>
      <c r="C135" s="1">
        <v>2021</v>
      </c>
      <c r="D135" s="4" t="s">
        <v>161</v>
      </c>
      <c r="E135" s="5">
        <v>37.799999999999997</v>
      </c>
      <c r="F135" s="5">
        <v>25.3</v>
      </c>
      <c r="G135" s="5">
        <v>34.5</v>
      </c>
      <c r="H135" s="5">
        <v>58.1</v>
      </c>
      <c r="I135">
        <v>1.5</v>
      </c>
      <c r="J135" s="1">
        <v>0.5</v>
      </c>
      <c r="K135" s="1">
        <v>1</v>
      </c>
      <c r="L135" s="9">
        <v>5.66</v>
      </c>
      <c r="M135" s="9">
        <v>8.1300000000000008</v>
      </c>
      <c r="N135" s="9">
        <v>12.88</v>
      </c>
      <c r="O135" s="9">
        <f>LN(373.78)</f>
        <v>5.9236673890421567</v>
      </c>
      <c r="P135" s="12">
        <v>2.5</v>
      </c>
      <c r="Q135" s="9">
        <v>12.641141862296896</v>
      </c>
      <c r="R135" s="9">
        <v>0.5</v>
      </c>
      <c r="S135" s="9">
        <v>0.3692259897609817</v>
      </c>
    </row>
    <row r="136" spans="1:19" ht="15.6" x14ac:dyDescent="0.3">
      <c r="A136" s="13" t="s">
        <v>16</v>
      </c>
      <c r="B136" s="2" t="s">
        <v>69</v>
      </c>
      <c r="C136" s="1">
        <v>2022</v>
      </c>
      <c r="D136" s="4" t="s">
        <v>161</v>
      </c>
      <c r="E136" s="5">
        <v>34</v>
      </c>
      <c r="F136" s="5">
        <v>26.6</v>
      </c>
      <c r="G136" s="5">
        <v>32.200000000000003</v>
      </c>
      <c r="H136" s="5">
        <v>45.9</v>
      </c>
      <c r="I136">
        <v>1.5</v>
      </c>
      <c r="J136" s="1">
        <v>0.5</v>
      </c>
      <c r="K136" s="1">
        <v>1</v>
      </c>
      <c r="L136" s="9">
        <v>3.31</v>
      </c>
      <c r="M136" s="9">
        <v>4.3899999999999997</v>
      </c>
      <c r="N136" s="9">
        <v>8</v>
      </c>
      <c r="O136" s="9">
        <f>LN(407.61)</f>
        <v>6.0103108349043417</v>
      </c>
      <c r="P136" s="12">
        <v>3.4</v>
      </c>
      <c r="Q136" s="9">
        <v>12.800255477937531</v>
      </c>
      <c r="R136" s="9">
        <v>0.5</v>
      </c>
      <c r="S136" s="9">
        <v>0.45100328448014132</v>
      </c>
    </row>
    <row r="137" spans="1:19" ht="15.6" x14ac:dyDescent="0.3">
      <c r="A137" s="13" t="s">
        <v>16</v>
      </c>
      <c r="B137" s="2" t="s">
        <v>69</v>
      </c>
      <c r="C137" s="1">
        <v>2023</v>
      </c>
      <c r="D137" s="4" t="s">
        <v>161</v>
      </c>
      <c r="E137" s="5">
        <v>37.799999999999997</v>
      </c>
      <c r="F137" s="5">
        <v>25.3</v>
      </c>
      <c r="G137" s="5">
        <v>34.5</v>
      </c>
      <c r="H137" s="5">
        <v>58.1</v>
      </c>
      <c r="I137">
        <v>1.5</v>
      </c>
      <c r="J137" s="1">
        <v>0.5</v>
      </c>
      <c r="K137" s="1">
        <v>1</v>
      </c>
      <c r="L137" s="9">
        <v>2.52</v>
      </c>
      <c r="M137" s="9">
        <v>2.4900000000000002</v>
      </c>
      <c r="N137" s="9">
        <v>4.68</v>
      </c>
      <c r="O137" s="9">
        <f>LN(399.71)</f>
        <v>5.9907392841683871</v>
      </c>
      <c r="P137" s="12">
        <v>2.5</v>
      </c>
      <c r="Q137" s="9">
        <v>12.865841413415435</v>
      </c>
      <c r="R137" s="9">
        <v>0.55555555555555558</v>
      </c>
      <c r="S137" s="9">
        <v>0.46846606990996953</v>
      </c>
    </row>
    <row r="138" spans="1:19" ht="15.6" x14ac:dyDescent="0.3">
      <c r="A138" s="13" t="s">
        <v>17</v>
      </c>
      <c r="B138" s="2" t="s">
        <v>70</v>
      </c>
      <c r="C138" s="1">
        <v>2016</v>
      </c>
      <c r="D138" s="4" t="s">
        <v>159</v>
      </c>
      <c r="E138" s="5"/>
      <c r="F138" s="5"/>
      <c r="G138" s="5"/>
      <c r="H138" s="5"/>
      <c r="I138">
        <v>1.3</v>
      </c>
      <c r="J138" s="1">
        <v>0.5</v>
      </c>
      <c r="K138" s="1">
        <v>0.8</v>
      </c>
      <c r="L138" s="9">
        <v>0.28000000000000003</v>
      </c>
      <c r="M138" s="9">
        <v>1.75</v>
      </c>
      <c r="N138" s="9">
        <v>4.2699999999999996</v>
      </c>
      <c r="O138" s="9">
        <f>LN(301.26)</f>
        <v>5.7079736792746694</v>
      </c>
      <c r="P138" s="12">
        <v>2.1</v>
      </c>
      <c r="Q138" s="9">
        <v>13.453349162365242</v>
      </c>
      <c r="R138" s="9">
        <v>0.5</v>
      </c>
      <c r="S138" s="9">
        <v>0.59071922087995743</v>
      </c>
    </row>
    <row r="139" spans="1:19" ht="15.6" x14ac:dyDescent="0.3">
      <c r="A139" s="13" t="s">
        <v>17</v>
      </c>
      <c r="B139" s="2" t="s">
        <v>70</v>
      </c>
      <c r="C139" s="1">
        <v>2017</v>
      </c>
      <c r="D139" s="4" t="s">
        <v>159</v>
      </c>
      <c r="E139" s="5"/>
      <c r="F139" s="5"/>
      <c r="G139" s="5"/>
      <c r="H139" s="5"/>
      <c r="I139">
        <v>1.8</v>
      </c>
      <c r="J139" s="1">
        <v>1</v>
      </c>
      <c r="K139" s="1">
        <v>0.8</v>
      </c>
      <c r="L139" s="9">
        <v>0.24</v>
      </c>
      <c r="M139" s="9">
        <v>-5.36</v>
      </c>
      <c r="N139" s="9">
        <v>-12.6</v>
      </c>
      <c r="O139" s="9">
        <f>LN(319.11)</f>
        <v>5.7655358709316831</v>
      </c>
      <c r="P139" s="9">
        <v>3.9</v>
      </c>
      <c r="Q139" s="9">
        <v>13.408797171080236</v>
      </c>
      <c r="R139" s="9">
        <v>0.5</v>
      </c>
      <c r="S139" s="9">
        <v>0.57482859867684932</v>
      </c>
    </row>
    <row r="140" spans="1:19" ht="15.6" x14ac:dyDescent="0.3">
      <c r="A140" s="13" t="s">
        <v>17</v>
      </c>
      <c r="B140" s="2" t="s">
        <v>70</v>
      </c>
      <c r="C140" s="1">
        <v>2018</v>
      </c>
      <c r="D140" s="4" t="s">
        <v>159</v>
      </c>
      <c r="E140" s="5"/>
      <c r="F140" s="5"/>
      <c r="G140" s="5"/>
      <c r="H140" s="5"/>
      <c r="I140">
        <v>2</v>
      </c>
      <c r="J140" s="1">
        <v>1</v>
      </c>
      <c r="K140" s="1">
        <v>1</v>
      </c>
      <c r="L140" s="9">
        <v>0.19</v>
      </c>
      <c r="M140" s="9">
        <v>5.94</v>
      </c>
      <c r="N140" s="9">
        <v>12.32</v>
      </c>
      <c r="O140" s="9">
        <f>LN(358.79)</f>
        <v>5.8827372591162019</v>
      </c>
      <c r="P140" s="9">
        <v>0.9</v>
      </c>
      <c r="Q140" s="9">
        <v>13.387370300816892</v>
      </c>
      <c r="R140" s="9">
        <v>0.5</v>
      </c>
      <c r="S140" s="9">
        <v>0.51807831584115882</v>
      </c>
    </row>
    <row r="141" spans="1:19" ht="15.6" x14ac:dyDescent="0.3">
      <c r="A141" s="13" t="s">
        <v>17</v>
      </c>
      <c r="B141" s="2" t="s">
        <v>70</v>
      </c>
      <c r="C141" s="1">
        <v>2019</v>
      </c>
      <c r="D141" s="4" t="s">
        <v>159</v>
      </c>
      <c r="E141" s="5"/>
      <c r="F141" s="5"/>
      <c r="G141" s="5"/>
      <c r="H141" s="5"/>
      <c r="I141">
        <v>1.5</v>
      </c>
      <c r="J141" s="1">
        <v>0.5</v>
      </c>
      <c r="K141" s="1">
        <v>1</v>
      </c>
      <c r="L141" s="9">
        <v>0.9</v>
      </c>
      <c r="M141" s="9">
        <v>7.84</v>
      </c>
      <c r="N141" s="9">
        <v>13.08</v>
      </c>
      <c r="O141" s="9">
        <f>LN(365.18)</f>
        <v>5.9003903827085873</v>
      </c>
      <c r="P141" s="12">
        <v>0.7</v>
      </c>
      <c r="Q141" s="9">
        <v>13.487198139293195</v>
      </c>
      <c r="R141" s="9">
        <v>0.5</v>
      </c>
      <c r="S141" s="9">
        <v>0.40107451627326984</v>
      </c>
    </row>
    <row r="142" spans="1:19" ht="15.6" x14ac:dyDescent="0.3">
      <c r="A142" s="13" t="s">
        <v>17</v>
      </c>
      <c r="B142" s="2" t="s">
        <v>70</v>
      </c>
      <c r="C142" s="1">
        <v>2020</v>
      </c>
      <c r="D142" s="4" t="s">
        <v>159</v>
      </c>
      <c r="E142" s="5"/>
      <c r="F142" s="5"/>
      <c r="G142" s="5"/>
      <c r="H142" s="5"/>
      <c r="I142">
        <v>2</v>
      </c>
      <c r="J142" s="1">
        <v>1</v>
      </c>
      <c r="K142" s="1">
        <v>1</v>
      </c>
      <c r="L142" s="9">
        <v>0.46</v>
      </c>
      <c r="M142" s="9">
        <v>2.06</v>
      </c>
      <c r="N142" s="9">
        <v>3.17</v>
      </c>
      <c r="O142" s="9">
        <f>LN(337.46)</f>
        <v>5.8214469847701915</v>
      </c>
      <c r="P142" s="12">
        <v>-0.1</v>
      </c>
      <c r="Q142" s="9">
        <v>13.435935394139209</v>
      </c>
      <c r="R142" s="9">
        <v>0.5</v>
      </c>
      <c r="S142" s="9">
        <v>0.35203580490885067</v>
      </c>
    </row>
    <row r="143" spans="1:19" ht="15.6" x14ac:dyDescent="0.3">
      <c r="A143" s="13" t="s">
        <v>17</v>
      </c>
      <c r="B143" s="2" t="s">
        <v>70</v>
      </c>
      <c r="C143" s="1">
        <v>2021</v>
      </c>
      <c r="D143" s="4" t="s">
        <v>159</v>
      </c>
      <c r="E143" s="5">
        <v>31.7</v>
      </c>
      <c r="F143" s="5">
        <v>23.7</v>
      </c>
      <c r="G143" s="5">
        <v>30.5</v>
      </c>
      <c r="H143" s="5">
        <v>42.5</v>
      </c>
      <c r="I143">
        <v>2</v>
      </c>
      <c r="J143" s="1">
        <v>1</v>
      </c>
      <c r="K143" s="1">
        <v>1</v>
      </c>
      <c r="L143" s="9">
        <v>0.4</v>
      </c>
      <c r="M143" s="9">
        <v>-13.63</v>
      </c>
      <c r="N143" s="9">
        <v>-21.18</v>
      </c>
      <c r="O143" s="9">
        <f>LN(373.78)</f>
        <v>5.9236673890421567</v>
      </c>
      <c r="P143" s="12">
        <v>2.5</v>
      </c>
      <c r="Q143" s="9">
        <v>13.229140289498963</v>
      </c>
      <c r="R143" s="9">
        <v>0.5</v>
      </c>
      <c r="S143" s="9">
        <v>0.35663969889079217</v>
      </c>
    </row>
    <row r="144" spans="1:19" ht="15.6" x14ac:dyDescent="0.3">
      <c r="A144" s="13" t="s">
        <v>17</v>
      </c>
      <c r="B144" s="2" t="s">
        <v>70</v>
      </c>
      <c r="C144" s="1">
        <v>2022</v>
      </c>
      <c r="D144" s="4" t="s">
        <v>159</v>
      </c>
      <c r="E144" s="5">
        <v>31.5</v>
      </c>
      <c r="F144" s="5">
        <v>15.9</v>
      </c>
      <c r="G144" s="5">
        <v>24.6</v>
      </c>
      <c r="H144" s="5">
        <v>59.3</v>
      </c>
      <c r="I144">
        <v>2</v>
      </c>
      <c r="J144" s="1">
        <v>1</v>
      </c>
      <c r="K144" s="1">
        <v>1</v>
      </c>
      <c r="L144" s="9">
        <v>0.64</v>
      </c>
      <c r="M144" s="9">
        <v>5.13</v>
      </c>
      <c r="N144" s="9">
        <v>7.34</v>
      </c>
      <c r="O144" s="9">
        <f>LN(407.61)</f>
        <v>6.0103108349043417</v>
      </c>
      <c r="P144" s="12">
        <v>3.4</v>
      </c>
      <c r="Q144" s="9">
        <v>13.190365891983062</v>
      </c>
      <c r="R144" s="9">
        <v>0.5</v>
      </c>
      <c r="S144" s="9">
        <v>0.30120295076085979</v>
      </c>
    </row>
    <row r="145" spans="1:19" ht="15.6" x14ac:dyDescent="0.3">
      <c r="A145" s="13" t="s">
        <v>17</v>
      </c>
      <c r="B145" s="2" t="s">
        <v>70</v>
      </c>
      <c r="C145" s="1">
        <v>2023</v>
      </c>
      <c r="D145" s="4" t="s">
        <v>159</v>
      </c>
      <c r="E145" s="5">
        <v>31.7</v>
      </c>
      <c r="F145" s="5">
        <v>23.7</v>
      </c>
      <c r="G145" s="5">
        <v>30.5</v>
      </c>
      <c r="H145" s="5">
        <v>42.5</v>
      </c>
      <c r="I145">
        <v>2</v>
      </c>
      <c r="J145" s="1">
        <v>1</v>
      </c>
      <c r="K145" s="1">
        <v>1</v>
      </c>
      <c r="L145" s="9">
        <v>0.74</v>
      </c>
      <c r="M145" s="9">
        <v>8.73</v>
      </c>
      <c r="N145" s="9">
        <v>11.6</v>
      </c>
      <c r="O145" s="9">
        <f>LN(399.71)</f>
        <v>5.9907392841683871</v>
      </c>
      <c r="P145" s="12">
        <v>2.5</v>
      </c>
      <c r="Q145" s="9">
        <v>13.211106587238717</v>
      </c>
      <c r="R145" s="9">
        <v>0.52941176470588236</v>
      </c>
      <c r="S145" s="9">
        <v>0.24765373352855052</v>
      </c>
    </row>
    <row r="146" spans="1:19" ht="15.6" x14ac:dyDescent="0.3">
      <c r="A146" s="13" t="s">
        <v>18</v>
      </c>
      <c r="B146" s="2" t="s">
        <v>71</v>
      </c>
      <c r="C146" s="1">
        <v>2016</v>
      </c>
      <c r="D146" s="4" t="s">
        <v>159</v>
      </c>
      <c r="E146" s="5">
        <v>54</v>
      </c>
      <c r="F146" s="5"/>
      <c r="G146" s="5">
        <v>50.8</v>
      </c>
      <c r="H146" s="5">
        <v>79.900000000000006</v>
      </c>
      <c r="I146">
        <v>1.3</v>
      </c>
      <c r="J146" s="1">
        <v>0.5</v>
      </c>
      <c r="K146" s="1">
        <v>0.8</v>
      </c>
      <c r="L146" s="9">
        <v>1.96</v>
      </c>
      <c r="M146" s="9">
        <v>7.13</v>
      </c>
      <c r="N146" s="9">
        <v>11.88</v>
      </c>
      <c r="O146" s="9">
        <f>LN(301.26)</f>
        <v>5.7079736792746694</v>
      </c>
      <c r="P146" s="12">
        <v>2.1</v>
      </c>
      <c r="Q146" s="9">
        <v>13.843404868912337</v>
      </c>
      <c r="R146" s="9">
        <v>0.42857142857142855</v>
      </c>
      <c r="S146" s="9">
        <v>0.39961703298787205</v>
      </c>
    </row>
    <row r="147" spans="1:19" ht="15.6" x14ac:dyDescent="0.3">
      <c r="A147" s="13" t="s">
        <v>18</v>
      </c>
      <c r="B147" s="2" t="s">
        <v>71</v>
      </c>
      <c r="C147" s="1">
        <v>2017</v>
      </c>
      <c r="D147" s="4" t="s">
        <v>159</v>
      </c>
      <c r="E147" s="5">
        <v>52.9</v>
      </c>
      <c r="F147" s="5"/>
      <c r="G147" s="5">
        <v>49</v>
      </c>
      <c r="H147" s="5">
        <v>79.3</v>
      </c>
      <c r="I147">
        <v>2</v>
      </c>
      <c r="J147" s="1">
        <v>1</v>
      </c>
      <c r="K147" s="1">
        <v>1</v>
      </c>
      <c r="L147" s="9">
        <v>1.85</v>
      </c>
      <c r="M147" s="9">
        <v>6.37</v>
      </c>
      <c r="N147" s="9">
        <v>11.61</v>
      </c>
      <c r="O147" s="9">
        <f>LN(319.11)</f>
        <v>5.7655358709316831</v>
      </c>
      <c r="P147" s="9">
        <v>3.9</v>
      </c>
      <c r="Q147" s="9">
        <v>14.119026362645872</v>
      </c>
      <c r="R147" s="9">
        <v>0.42857142857142855</v>
      </c>
      <c r="S147" s="9">
        <v>0.45119897712483198</v>
      </c>
    </row>
    <row r="148" spans="1:19" ht="15.6" x14ac:dyDescent="0.3">
      <c r="A148" s="13" t="s">
        <v>18</v>
      </c>
      <c r="B148" s="2" t="s">
        <v>71</v>
      </c>
      <c r="C148" s="1">
        <v>2018</v>
      </c>
      <c r="D148" s="4" t="s">
        <v>159</v>
      </c>
      <c r="E148" s="5">
        <v>13.6</v>
      </c>
      <c r="F148" s="5">
        <v>8.6</v>
      </c>
      <c r="G148" s="5">
        <v>12.1</v>
      </c>
      <c r="H148" s="5">
        <v>25</v>
      </c>
      <c r="I148">
        <v>1.3</v>
      </c>
      <c r="J148" s="1">
        <v>0.5</v>
      </c>
      <c r="K148" s="1">
        <v>0.8</v>
      </c>
      <c r="L148" s="9">
        <v>2.74</v>
      </c>
      <c r="M148" s="9">
        <v>8.02</v>
      </c>
      <c r="N148" s="9">
        <v>14.18</v>
      </c>
      <c r="O148" s="9">
        <f>LN(358.79)</f>
        <v>5.8827372591162019</v>
      </c>
      <c r="P148" s="9">
        <v>0.9</v>
      </c>
      <c r="Q148" s="9">
        <v>14.270488109018283</v>
      </c>
      <c r="R148" s="9">
        <v>0.42857142857142855</v>
      </c>
      <c r="S148" s="9">
        <v>0.43451144506382056</v>
      </c>
    </row>
    <row r="149" spans="1:19" ht="15.6" x14ac:dyDescent="0.3">
      <c r="A149" s="13" t="s">
        <v>18</v>
      </c>
      <c r="B149" s="2" t="s">
        <v>71</v>
      </c>
      <c r="C149" s="1">
        <v>2019</v>
      </c>
      <c r="D149" s="4" t="s">
        <v>159</v>
      </c>
      <c r="E149" s="5">
        <v>30.9</v>
      </c>
      <c r="F149" s="5">
        <v>6.2</v>
      </c>
      <c r="G149" s="5">
        <v>43.2</v>
      </c>
      <c r="H149" s="5">
        <v>26.2</v>
      </c>
      <c r="I149">
        <v>1.8</v>
      </c>
      <c r="J149" s="1">
        <v>1</v>
      </c>
      <c r="K149" s="1">
        <v>0.8</v>
      </c>
      <c r="L149" s="9">
        <v>2.74</v>
      </c>
      <c r="M149" s="9">
        <v>7.99</v>
      </c>
      <c r="N149" s="9">
        <v>13.71</v>
      </c>
      <c r="O149" s="9">
        <f>LN(365.18)</f>
        <v>5.9003903827085873</v>
      </c>
      <c r="P149" s="12">
        <v>0.7</v>
      </c>
      <c r="Q149" s="9">
        <v>14.297897817563486</v>
      </c>
      <c r="R149" s="9">
        <v>0.375</v>
      </c>
      <c r="S149" s="9">
        <v>0.41761253678383792</v>
      </c>
    </row>
    <row r="150" spans="1:19" ht="15.6" x14ac:dyDescent="0.3">
      <c r="A150" s="13" t="s">
        <v>18</v>
      </c>
      <c r="B150" s="2" t="s">
        <v>71</v>
      </c>
      <c r="C150" s="1">
        <v>2020</v>
      </c>
      <c r="D150" s="4" t="s">
        <v>159</v>
      </c>
      <c r="E150" s="5">
        <v>28.4</v>
      </c>
      <c r="F150" s="5">
        <v>5.8</v>
      </c>
      <c r="G150" s="5">
        <v>39.9</v>
      </c>
      <c r="H150" s="5">
        <v>23.9</v>
      </c>
      <c r="I150">
        <v>1.3</v>
      </c>
      <c r="J150" s="1">
        <v>0.5</v>
      </c>
      <c r="K150" s="1">
        <v>0.8</v>
      </c>
      <c r="L150" s="9">
        <v>2.83</v>
      </c>
      <c r="M150" s="9">
        <v>8.77</v>
      </c>
      <c r="N150" s="9">
        <v>14.85</v>
      </c>
      <c r="O150" s="9">
        <f>LN(337.46)</f>
        <v>5.8214469847701915</v>
      </c>
      <c r="P150" s="12">
        <v>-0.1</v>
      </c>
      <c r="Q150" s="9">
        <v>14.334252564324229</v>
      </c>
      <c r="R150" s="9">
        <v>0.5</v>
      </c>
      <c r="S150" s="9">
        <v>0.40977300610210171</v>
      </c>
    </row>
    <row r="151" spans="1:19" ht="15.6" x14ac:dyDescent="0.3">
      <c r="A151" s="13" t="s">
        <v>18</v>
      </c>
      <c r="B151" s="2" t="s">
        <v>71</v>
      </c>
      <c r="C151" s="1">
        <v>2021</v>
      </c>
      <c r="D151" s="4" t="s">
        <v>159</v>
      </c>
      <c r="E151" s="5">
        <v>60.5</v>
      </c>
      <c r="F151" s="5">
        <v>68.8</v>
      </c>
      <c r="G151" s="5">
        <v>57.6</v>
      </c>
      <c r="H151" s="5">
        <v>54.7</v>
      </c>
      <c r="I151">
        <v>1.8</v>
      </c>
      <c r="J151" s="1">
        <v>1</v>
      </c>
      <c r="K151" s="1">
        <v>0.8</v>
      </c>
      <c r="L151" s="9">
        <v>2.0499999999999998</v>
      </c>
      <c r="M151" s="9">
        <v>6.81</v>
      </c>
      <c r="N151" s="9">
        <v>10.45</v>
      </c>
      <c r="O151" s="9">
        <f>LN(373.78)</f>
        <v>5.9236673890421567</v>
      </c>
      <c r="P151" s="12">
        <v>2.5</v>
      </c>
      <c r="Q151" s="9">
        <v>14.467967506156285</v>
      </c>
      <c r="R151" s="9">
        <v>0.5</v>
      </c>
      <c r="S151" s="9">
        <v>0.34828535614838252</v>
      </c>
    </row>
    <row r="152" spans="1:19" ht="15.6" x14ac:dyDescent="0.3">
      <c r="A152" s="13" t="s">
        <v>18</v>
      </c>
      <c r="B152" s="2" t="s">
        <v>71</v>
      </c>
      <c r="C152" s="1">
        <v>2022</v>
      </c>
      <c r="D152" s="4" t="s">
        <v>159</v>
      </c>
      <c r="E152" s="5">
        <v>59.3</v>
      </c>
      <c r="F152" s="5">
        <v>58.8</v>
      </c>
      <c r="G152" s="5">
        <v>61.1</v>
      </c>
      <c r="H152" s="5">
        <v>57.3</v>
      </c>
      <c r="I152">
        <v>2</v>
      </c>
      <c r="J152" s="1">
        <v>1</v>
      </c>
      <c r="K152" s="1">
        <v>1</v>
      </c>
      <c r="L152" s="9">
        <v>1.36</v>
      </c>
      <c r="M152" s="9">
        <v>5.74</v>
      </c>
      <c r="N152" s="9">
        <v>8.99</v>
      </c>
      <c r="O152" s="9">
        <f>LN(407.61)</f>
        <v>6.0103108349043417</v>
      </c>
      <c r="P152" s="12">
        <v>3.4</v>
      </c>
      <c r="Q152" s="9">
        <v>14.512741389061803</v>
      </c>
      <c r="R152" s="9">
        <v>0.6</v>
      </c>
      <c r="S152" s="9">
        <v>0.36109191189651946</v>
      </c>
    </row>
    <row r="153" spans="1:19" ht="15.6" x14ac:dyDescent="0.3">
      <c r="A153" s="13" t="s">
        <v>18</v>
      </c>
      <c r="B153" s="2" t="s">
        <v>71</v>
      </c>
      <c r="C153" s="1">
        <v>2023</v>
      </c>
      <c r="D153" s="4" t="s">
        <v>159</v>
      </c>
      <c r="E153" s="5">
        <v>60.5</v>
      </c>
      <c r="F153" s="5">
        <v>68.8</v>
      </c>
      <c r="G153" s="5">
        <v>57.6</v>
      </c>
      <c r="H153" s="5">
        <v>54.7</v>
      </c>
      <c r="I153">
        <v>1.8</v>
      </c>
      <c r="J153" s="1">
        <v>1</v>
      </c>
      <c r="K153" s="1">
        <v>0.8</v>
      </c>
      <c r="L153" s="9">
        <v>1.25</v>
      </c>
      <c r="M153" s="9">
        <v>5.48</v>
      </c>
      <c r="N153" s="9">
        <v>8.2899999999999991</v>
      </c>
      <c r="O153" s="9">
        <f>LN(399.71)</f>
        <v>5.9907392841683871</v>
      </c>
      <c r="P153" s="12">
        <v>2.5</v>
      </c>
      <c r="Q153" s="9">
        <v>14.503690924298368</v>
      </c>
      <c r="R153" s="9">
        <v>0.6</v>
      </c>
      <c r="S153" s="9">
        <v>0.33842824272859884</v>
      </c>
    </row>
    <row r="154" spans="1:19" ht="15.6" x14ac:dyDescent="0.3">
      <c r="A154" s="13" t="s">
        <v>19</v>
      </c>
      <c r="B154" s="2" t="s">
        <v>72</v>
      </c>
      <c r="C154" s="1">
        <v>2016</v>
      </c>
      <c r="D154" s="4" t="s">
        <v>158</v>
      </c>
      <c r="E154" s="5">
        <v>64.599999999999994</v>
      </c>
      <c r="F154" s="5">
        <v>38.4</v>
      </c>
      <c r="G154" s="5">
        <v>71.099999999999994</v>
      </c>
      <c r="H154" s="5">
        <v>71.8</v>
      </c>
      <c r="I154">
        <v>1.6</v>
      </c>
      <c r="J154" s="1">
        <v>1</v>
      </c>
      <c r="K154" s="1">
        <v>0.6</v>
      </c>
      <c r="L154" s="9"/>
      <c r="M154" s="9">
        <v>17.84</v>
      </c>
      <c r="N154" s="9">
        <v>30.35</v>
      </c>
      <c r="O154" s="9">
        <f>LN(301.26)</f>
        <v>5.7079736792746694</v>
      </c>
      <c r="P154" s="12">
        <v>2.1</v>
      </c>
      <c r="Q154" s="9">
        <v>11.673521046018635</v>
      </c>
      <c r="R154" s="9"/>
      <c r="S154" s="9">
        <v>0.41222609243661695</v>
      </c>
    </row>
    <row r="155" spans="1:19" ht="15.6" x14ac:dyDescent="0.3">
      <c r="A155" s="13" t="s">
        <v>19</v>
      </c>
      <c r="B155" s="2" t="s">
        <v>72</v>
      </c>
      <c r="C155" s="1">
        <v>2017</v>
      </c>
      <c r="D155" s="4" t="s">
        <v>158</v>
      </c>
      <c r="E155" s="5">
        <v>60.2</v>
      </c>
      <c r="F155" s="5">
        <v>36.9</v>
      </c>
      <c r="G155" s="5">
        <v>62.4</v>
      </c>
      <c r="H155" s="5">
        <v>73.5</v>
      </c>
      <c r="I155">
        <v>1.3</v>
      </c>
      <c r="J155" s="1">
        <v>0.5</v>
      </c>
      <c r="K155" s="1">
        <v>0.8</v>
      </c>
      <c r="L155" s="9"/>
      <c r="M155" s="9">
        <v>17.170000000000002</v>
      </c>
      <c r="N155" s="9"/>
      <c r="O155" s="9">
        <f>LN(319.11)</f>
        <v>5.7655358709316831</v>
      </c>
      <c r="P155" s="9">
        <v>3.9</v>
      </c>
      <c r="Q155" s="9">
        <v>12.107180056553821</v>
      </c>
      <c r="R155" s="9">
        <v>0.1111111111111111</v>
      </c>
      <c r="S155" s="9">
        <v>0.46438112690982958</v>
      </c>
    </row>
    <row r="156" spans="1:19" ht="15.6" x14ac:dyDescent="0.3">
      <c r="A156" s="13" t="s">
        <v>19</v>
      </c>
      <c r="B156" s="2" t="s">
        <v>72</v>
      </c>
      <c r="C156" s="1">
        <v>2018</v>
      </c>
      <c r="D156" s="4" t="s">
        <v>158</v>
      </c>
      <c r="E156" s="5">
        <v>61.4</v>
      </c>
      <c r="F156" s="5">
        <v>33.1</v>
      </c>
      <c r="G156" s="5">
        <v>64.3</v>
      </c>
      <c r="H156" s="5">
        <v>77.2</v>
      </c>
      <c r="I156">
        <v>2</v>
      </c>
      <c r="J156" s="1">
        <v>1</v>
      </c>
      <c r="K156" s="1">
        <v>1</v>
      </c>
      <c r="L156" s="9"/>
      <c r="M156" s="9">
        <v>25.98</v>
      </c>
      <c r="N156" s="9"/>
      <c r="O156" s="9">
        <f>LN(358.79)</f>
        <v>5.8827372591162019</v>
      </c>
      <c r="P156" s="9">
        <v>0.9</v>
      </c>
      <c r="Q156" s="9">
        <v>12.211592383707899</v>
      </c>
      <c r="R156" s="9">
        <v>0.1111111111111111</v>
      </c>
      <c r="S156" s="9">
        <v>0.38926541592286695</v>
      </c>
    </row>
    <row r="157" spans="1:19" ht="15.6" x14ac:dyDescent="0.3">
      <c r="A157" s="13" t="s">
        <v>19</v>
      </c>
      <c r="B157" s="2" t="s">
        <v>72</v>
      </c>
      <c r="C157" s="1">
        <v>2019</v>
      </c>
      <c r="D157" s="4" t="s">
        <v>158</v>
      </c>
      <c r="E157" s="5">
        <v>62.8</v>
      </c>
      <c r="F157" s="5">
        <v>44.2</v>
      </c>
      <c r="G157" s="5">
        <v>60.8</v>
      </c>
      <c r="H157" s="5">
        <v>81.2</v>
      </c>
      <c r="I157">
        <v>2</v>
      </c>
      <c r="J157" s="1">
        <v>1</v>
      </c>
      <c r="K157" s="1">
        <v>1</v>
      </c>
      <c r="L157" s="9"/>
      <c r="M157" s="9">
        <v>21.69</v>
      </c>
      <c r="N157" s="9">
        <v>36.03</v>
      </c>
      <c r="O157" s="9">
        <f>LN(365.18)</f>
        <v>5.9003903827085873</v>
      </c>
      <c r="P157" s="12">
        <v>0.7</v>
      </c>
      <c r="Q157" s="9">
        <v>12.52703957954337</v>
      </c>
      <c r="R157" s="9">
        <v>0.1111111111111111</v>
      </c>
      <c r="S157" s="9">
        <v>0.39810368091928672</v>
      </c>
    </row>
    <row r="158" spans="1:19" ht="15.6" x14ac:dyDescent="0.3">
      <c r="A158" s="13" t="s">
        <v>19</v>
      </c>
      <c r="B158" s="2" t="s">
        <v>72</v>
      </c>
      <c r="C158" s="1">
        <v>2020</v>
      </c>
      <c r="D158" s="4" t="s">
        <v>158</v>
      </c>
      <c r="E158" s="5">
        <v>61.6</v>
      </c>
      <c r="F158" s="5">
        <v>50.5</v>
      </c>
      <c r="G158" s="5">
        <v>72.400000000000006</v>
      </c>
      <c r="H158" s="5">
        <v>54.1</v>
      </c>
      <c r="I158">
        <v>2</v>
      </c>
      <c r="J158" s="1">
        <v>1</v>
      </c>
      <c r="K158" s="1">
        <v>1</v>
      </c>
      <c r="L158" s="9"/>
      <c r="M158" s="9">
        <v>14.52</v>
      </c>
      <c r="N158" s="9">
        <v>32.96</v>
      </c>
      <c r="O158" s="9">
        <f>LN(337.46)</f>
        <v>5.8214469847701915</v>
      </c>
      <c r="P158" s="12">
        <v>-0.1</v>
      </c>
      <c r="Q158" s="9">
        <v>12.694290631634173</v>
      </c>
      <c r="R158" s="9">
        <v>0.1111111111111111</v>
      </c>
      <c r="S158" s="9">
        <v>0.55960439668346207</v>
      </c>
    </row>
    <row r="159" spans="1:19" ht="15.6" x14ac:dyDescent="0.3">
      <c r="A159" s="13" t="s">
        <v>19</v>
      </c>
      <c r="B159" s="2" t="s">
        <v>72</v>
      </c>
      <c r="C159" s="1">
        <v>2021</v>
      </c>
      <c r="D159" s="4" t="s">
        <v>158</v>
      </c>
      <c r="E159" s="5"/>
      <c r="F159" s="5"/>
      <c r="G159" s="5"/>
      <c r="H159" s="5"/>
      <c r="I159">
        <v>2</v>
      </c>
      <c r="J159" s="1">
        <v>1</v>
      </c>
      <c r="K159" s="1">
        <v>1</v>
      </c>
      <c r="L159" s="9"/>
      <c r="M159" s="9">
        <v>16.489999999999998</v>
      </c>
      <c r="N159" s="9">
        <v>29.93</v>
      </c>
      <c r="O159" s="9">
        <f>LN(373.78)</f>
        <v>5.9236673890421567</v>
      </c>
      <c r="P159" s="12">
        <v>2.5</v>
      </c>
      <c r="Q159" s="9">
        <v>12.767883166134078</v>
      </c>
      <c r="R159" s="9">
        <v>0.1111111111111111</v>
      </c>
      <c r="S159" s="9">
        <v>0.44922156747032949</v>
      </c>
    </row>
    <row r="160" spans="1:19" ht="15.6" x14ac:dyDescent="0.3">
      <c r="A160" s="13" t="s">
        <v>19</v>
      </c>
      <c r="B160" s="2" t="s">
        <v>72</v>
      </c>
      <c r="C160" s="1">
        <v>2022</v>
      </c>
      <c r="D160" s="4" t="s">
        <v>158</v>
      </c>
      <c r="E160" s="5"/>
      <c r="F160" s="5"/>
      <c r="G160" s="5"/>
      <c r="H160" s="5"/>
      <c r="I160">
        <v>1.5</v>
      </c>
      <c r="J160" s="1">
        <v>0.5</v>
      </c>
      <c r="K160" s="1">
        <v>1</v>
      </c>
      <c r="L160" s="9"/>
      <c r="M160" s="9">
        <v>15.65</v>
      </c>
      <c r="N160" s="9">
        <v>26.86</v>
      </c>
      <c r="O160" s="9">
        <f>LN(407.61)</f>
        <v>6.0103108349043417</v>
      </c>
      <c r="P160" s="12">
        <v>3.4</v>
      </c>
      <c r="Q160" s="9">
        <v>12.880383531743824</v>
      </c>
      <c r="R160" s="9">
        <v>0.42857142857142855</v>
      </c>
      <c r="S160" s="9">
        <v>0.41751839321743739</v>
      </c>
    </row>
    <row r="161" spans="1:19" ht="15.6" x14ac:dyDescent="0.3">
      <c r="A161" s="13" t="s">
        <v>19</v>
      </c>
      <c r="B161" s="2" t="s">
        <v>72</v>
      </c>
      <c r="C161" s="1">
        <v>2023</v>
      </c>
      <c r="D161" s="4" t="s">
        <v>158</v>
      </c>
      <c r="E161" s="5"/>
      <c r="F161" s="5"/>
      <c r="G161" s="5"/>
      <c r="H161" s="5"/>
      <c r="I161">
        <v>2</v>
      </c>
      <c r="J161" s="1">
        <v>1</v>
      </c>
      <c r="K161" s="1">
        <v>1</v>
      </c>
      <c r="L161" s="9">
        <v>1.5</v>
      </c>
      <c r="M161" s="9">
        <v>14.82</v>
      </c>
      <c r="N161" s="9">
        <v>22.9</v>
      </c>
      <c r="O161" s="9">
        <f>LN(399.71)</f>
        <v>5.9907392841683871</v>
      </c>
      <c r="P161" s="12">
        <v>2.5</v>
      </c>
      <c r="Q161" s="9">
        <v>12.996126458158848</v>
      </c>
      <c r="R161" s="9">
        <v>0.42857142857142855</v>
      </c>
      <c r="S161" s="9">
        <v>0.35292022064746553</v>
      </c>
    </row>
    <row r="162" spans="1:19" ht="15.6" x14ac:dyDescent="0.3">
      <c r="A162" s="13" t="s">
        <v>20</v>
      </c>
      <c r="B162" s="2" t="s">
        <v>73</v>
      </c>
      <c r="C162" s="1">
        <v>2016</v>
      </c>
      <c r="D162" s="4" t="s">
        <v>162</v>
      </c>
      <c r="E162" s="5">
        <v>39.299999999999997</v>
      </c>
      <c r="F162" s="5">
        <v>29.4</v>
      </c>
      <c r="G162" s="5">
        <v>35</v>
      </c>
      <c r="H162" s="5">
        <v>64.2</v>
      </c>
      <c r="I162">
        <v>1.1000000000000001</v>
      </c>
      <c r="J162" s="1">
        <v>0.5</v>
      </c>
      <c r="K162" s="1">
        <v>0.6</v>
      </c>
      <c r="L162" s="9">
        <v>0.36</v>
      </c>
      <c r="M162" s="9">
        <v>1.46</v>
      </c>
      <c r="N162" s="9">
        <v>3.41</v>
      </c>
      <c r="O162" s="9">
        <f>LN(301.26)</f>
        <v>5.7079736792746694</v>
      </c>
      <c r="P162" s="12">
        <v>2.1</v>
      </c>
      <c r="Q162" s="9">
        <v>14.558984816274778</v>
      </c>
      <c r="R162" s="9">
        <v>0.44400000000000001</v>
      </c>
      <c r="S162" s="9">
        <v>0.57173585390090476</v>
      </c>
    </row>
    <row r="163" spans="1:19" ht="15.6" x14ac:dyDescent="0.3">
      <c r="A163" s="13" t="s">
        <v>20</v>
      </c>
      <c r="B163" s="2" t="s">
        <v>73</v>
      </c>
      <c r="C163" s="1">
        <v>2017</v>
      </c>
      <c r="D163" s="4" t="s">
        <v>162</v>
      </c>
      <c r="E163" s="5">
        <v>41.2</v>
      </c>
      <c r="F163" s="5">
        <v>22.9</v>
      </c>
      <c r="G163" s="5">
        <v>45.9</v>
      </c>
      <c r="H163" s="5">
        <v>65.7</v>
      </c>
      <c r="I163">
        <v>0.7</v>
      </c>
      <c r="J163" s="1">
        <v>0.5</v>
      </c>
      <c r="K163" s="1">
        <v>0.2</v>
      </c>
      <c r="L163" s="9">
        <v>0.46</v>
      </c>
      <c r="M163" s="9">
        <v>2.13</v>
      </c>
      <c r="N163" s="9">
        <v>4.92</v>
      </c>
      <c r="O163" s="9">
        <f>LN(319.11)</f>
        <v>5.7655358709316831</v>
      </c>
      <c r="P163" s="9">
        <v>3.9</v>
      </c>
      <c r="Q163" s="9">
        <v>14.660688458538049</v>
      </c>
      <c r="R163" s="9">
        <v>0.55600000000000005</v>
      </c>
      <c r="S163" s="9">
        <v>0.56711455802974753</v>
      </c>
    </row>
    <row r="164" spans="1:19" ht="15.6" x14ac:dyDescent="0.3">
      <c r="A164" s="13" t="s">
        <v>20</v>
      </c>
      <c r="B164" s="2" t="s">
        <v>73</v>
      </c>
      <c r="C164" s="1">
        <v>2018</v>
      </c>
      <c r="D164" s="4" t="s">
        <v>162</v>
      </c>
      <c r="E164" s="5">
        <v>49.2</v>
      </c>
      <c r="F164" s="5">
        <v>29.6</v>
      </c>
      <c r="G164" s="5">
        <v>63.7</v>
      </c>
      <c r="H164" s="5">
        <v>59.3</v>
      </c>
      <c r="I164">
        <v>1.1000000000000001</v>
      </c>
      <c r="J164" s="1">
        <v>0.5</v>
      </c>
      <c r="K164" s="1">
        <v>0.6</v>
      </c>
      <c r="L164" s="9">
        <v>0.28000000000000003</v>
      </c>
      <c r="M164" s="9">
        <v>0.88</v>
      </c>
      <c r="N164" s="9">
        <v>2.16</v>
      </c>
      <c r="O164" s="9">
        <f>LN(358.79)</f>
        <v>5.8827372591162019</v>
      </c>
      <c r="P164" s="9">
        <v>0.9</v>
      </c>
      <c r="Q164" s="9">
        <v>14.752121822214304</v>
      </c>
      <c r="R164" s="9">
        <v>0.55600000000000005</v>
      </c>
      <c r="S164" s="9">
        <v>0.59445009075690591</v>
      </c>
    </row>
    <row r="165" spans="1:19" ht="15.6" x14ac:dyDescent="0.3">
      <c r="A165" s="13" t="s">
        <v>20</v>
      </c>
      <c r="B165" s="2" t="s">
        <v>73</v>
      </c>
      <c r="C165" s="1">
        <v>2019</v>
      </c>
      <c r="D165" s="4" t="s">
        <v>162</v>
      </c>
      <c r="E165" s="5">
        <v>59.5</v>
      </c>
      <c r="F165" s="5">
        <v>47.7</v>
      </c>
      <c r="G165" s="5">
        <v>65.599999999999994</v>
      </c>
      <c r="H165" s="5">
        <v>70</v>
      </c>
      <c r="I165">
        <v>1.6</v>
      </c>
      <c r="J165" s="1">
        <v>1</v>
      </c>
      <c r="K165" s="1">
        <v>0.6</v>
      </c>
      <c r="L165" s="9">
        <v>0.18</v>
      </c>
      <c r="M165" s="9">
        <v>1.9</v>
      </c>
      <c r="N165" s="9">
        <v>4.4800000000000004</v>
      </c>
      <c r="O165" s="9">
        <f>LN(365.18)</f>
        <v>5.9003903827085873</v>
      </c>
      <c r="P165" s="12">
        <v>0.7</v>
      </c>
      <c r="Q165" s="9">
        <v>14.75496180253365</v>
      </c>
      <c r="R165" s="9">
        <v>0.5</v>
      </c>
      <c r="S165" s="9">
        <v>0.57542806020690407</v>
      </c>
    </row>
    <row r="166" spans="1:19" ht="15.6" x14ac:dyDescent="0.3">
      <c r="A166" s="13" t="s">
        <v>20</v>
      </c>
      <c r="B166" s="2" t="s">
        <v>73</v>
      </c>
      <c r="C166" s="1">
        <v>2020</v>
      </c>
      <c r="D166" s="4" t="s">
        <v>162</v>
      </c>
      <c r="E166" s="5">
        <v>53.2</v>
      </c>
      <c r="F166" s="5">
        <v>42.5</v>
      </c>
      <c r="G166" s="5">
        <v>64.5</v>
      </c>
      <c r="H166" s="5">
        <v>52.9</v>
      </c>
      <c r="I166">
        <v>1.8</v>
      </c>
      <c r="J166" s="1">
        <v>1</v>
      </c>
      <c r="K166" s="1">
        <v>0.8</v>
      </c>
      <c r="L166" s="9">
        <v>0.11</v>
      </c>
      <c r="M166" s="9">
        <v>1.55</v>
      </c>
      <c r="N166" s="9">
        <v>3.45</v>
      </c>
      <c r="O166" s="9">
        <f>LN(337.46)</f>
        <v>5.8214469847701915</v>
      </c>
      <c r="P166" s="12">
        <v>-0.1</v>
      </c>
      <c r="Q166" s="9">
        <v>14.72543305560972</v>
      </c>
      <c r="R166" s="9">
        <v>0.5</v>
      </c>
      <c r="S166" s="9">
        <v>0.55017330010909249</v>
      </c>
    </row>
    <row r="167" spans="1:19" ht="15.6" x14ac:dyDescent="0.3">
      <c r="A167" s="13" t="s">
        <v>20</v>
      </c>
      <c r="B167" s="2" t="s">
        <v>73</v>
      </c>
      <c r="C167" s="1">
        <v>2021</v>
      </c>
      <c r="D167" s="4" t="s">
        <v>162</v>
      </c>
      <c r="E167" s="5">
        <v>65.900000000000006</v>
      </c>
      <c r="F167" s="5">
        <v>60.4</v>
      </c>
      <c r="G167" s="5">
        <v>79.2</v>
      </c>
      <c r="H167" s="5">
        <v>56.2</v>
      </c>
      <c r="I167">
        <v>1.3</v>
      </c>
      <c r="J167" s="1">
        <v>0.5</v>
      </c>
      <c r="K167" s="1">
        <v>0.8</v>
      </c>
      <c r="L167" s="9">
        <v>0.31</v>
      </c>
      <c r="M167" s="9">
        <v>1.87</v>
      </c>
      <c r="N167" s="9">
        <v>3.84</v>
      </c>
      <c r="O167" s="9">
        <f>LN(373.78)</f>
        <v>5.9236673890421567</v>
      </c>
      <c r="P167" s="12">
        <v>2.5</v>
      </c>
      <c r="Q167" s="9">
        <v>14.671040583762952</v>
      </c>
      <c r="R167" s="9">
        <v>0.54500000000000004</v>
      </c>
      <c r="S167" s="9">
        <v>0.51121408845708682</v>
      </c>
    </row>
    <row r="168" spans="1:19" ht="15.6" x14ac:dyDescent="0.3">
      <c r="A168" s="13" t="s">
        <v>20</v>
      </c>
      <c r="B168" s="2" t="s">
        <v>73</v>
      </c>
      <c r="C168" s="1">
        <v>2022</v>
      </c>
      <c r="D168" s="4" t="s">
        <v>162</v>
      </c>
      <c r="E168" s="5">
        <v>79.099999999999994</v>
      </c>
      <c r="F168" s="5">
        <v>83.7</v>
      </c>
      <c r="G168" s="5">
        <v>76</v>
      </c>
      <c r="H168" s="5">
        <v>77.900000000000006</v>
      </c>
      <c r="I168">
        <v>1.3</v>
      </c>
      <c r="J168" s="1">
        <v>0.5</v>
      </c>
      <c r="K168" s="1">
        <v>0.8</v>
      </c>
      <c r="L168" s="9">
        <v>0.19</v>
      </c>
      <c r="M168" s="9">
        <v>1.67</v>
      </c>
      <c r="N168" s="9">
        <v>3.32</v>
      </c>
      <c r="O168" s="9">
        <f>LN(407.61)</f>
        <v>6.0103108349043417</v>
      </c>
      <c r="P168" s="12">
        <v>3.4</v>
      </c>
      <c r="Q168" s="9">
        <v>14.503006299181777</v>
      </c>
      <c r="R168" s="9">
        <v>0.53800000000000003</v>
      </c>
      <c r="S168" s="9">
        <v>0.49589260276287017</v>
      </c>
    </row>
    <row r="169" spans="1:19" ht="15.6" x14ac:dyDescent="0.3">
      <c r="A169" s="13" t="s">
        <v>20</v>
      </c>
      <c r="B169" s="2" t="s">
        <v>73</v>
      </c>
      <c r="C169" s="1">
        <v>2023</v>
      </c>
      <c r="D169" s="4" t="s">
        <v>162</v>
      </c>
      <c r="E169" s="5">
        <v>65.900000000000006</v>
      </c>
      <c r="F169" s="5">
        <v>60.4</v>
      </c>
      <c r="G169" s="5">
        <v>79.2</v>
      </c>
      <c r="H169" s="5">
        <v>56.2</v>
      </c>
      <c r="I169">
        <v>1.4</v>
      </c>
      <c r="J169" s="1">
        <v>1</v>
      </c>
      <c r="K169" s="1">
        <v>0.4</v>
      </c>
      <c r="L169" s="9">
        <v>0.33</v>
      </c>
      <c r="M169" s="9">
        <v>2.13</v>
      </c>
      <c r="N169" s="9">
        <v>3.97</v>
      </c>
      <c r="O169" s="9">
        <f>LN(399.71)</f>
        <v>5.9907392841683871</v>
      </c>
      <c r="P169" s="12">
        <v>2.5</v>
      </c>
      <c r="Q169" s="9">
        <v>14.440374079772166</v>
      </c>
      <c r="R169" s="9">
        <v>0.53800000000000003</v>
      </c>
      <c r="S169" s="9">
        <v>0.46381968649741889</v>
      </c>
    </row>
    <row r="170" spans="1:19" ht="15.6" x14ac:dyDescent="0.3">
      <c r="A170" s="13" t="s">
        <v>21</v>
      </c>
      <c r="B170" s="2" t="s">
        <v>74</v>
      </c>
      <c r="C170" s="1">
        <v>2016</v>
      </c>
      <c r="D170" s="4" t="s">
        <v>158</v>
      </c>
      <c r="E170" s="5"/>
      <c r="F170" s="5"/>
      <c r="G170" s="5"/>
      <c r="H170" s="5"/>
      <c r="I170">
        <v>2</v>
      </c>
      <c r="J170" s="1">
        <v>1</v>
      </c>
      <c r="K170" s="1">
        <v>1</v>
      </c>
      <c r="L170" s="9"/>
      <c r="M170" s="9">
        <v>10.88</v>
      </c>
      <c r="N170" s="9">
        <v>21.24</v>
      </c>
      <c r="O170" s="9">
        <f>LN(301.26)</f>
        <v>5.7079736792746694</v>
      </c>
      <c r="P170" s="12">
        <v>2.1</v>
      </c>
      <c r="Q170" s="9">
        <v>10.063946862472948</v>
      </c>
      <c r="R170" s="9">
        <v>0.36399999999999999</v>
      </c>
      <c r="S170" s="9">
        <v>0.48784123333759211</v>
      </c>
    </row>
    <row r="171" spans="1:19" ht="15.6" x14ac:dyDescent="0.3">
      <c r="A171" s="13" t="s">
        <v>21</v>
      </c>
      <c r="B171" s="2" t="s">
        <v>74</v>
      </c>
      <c r="C171" s="1">
        <v>2017</v>
      </c>
      <c r="D171" s="4" t="s">
        <v>158</v>
      </c>
      <c r="E171" s="5"/>
      <c r="F171" s="5"/>
      <c r="G171" s="5"/>
      <c r="H171" s="5"/>
      <c r="I171">
        <v>2</v>
      </c>
      <c r="J171" s="1">
        <v>1</v>
      </c>
      <c r="K171" s="1">
        <v>1</v>
      </c>
      <c r="L171" s="9"/>
      <c r="M171" s="9">
        <v>10.029999999999999</v>
      </c>
      <c r="N171" s="9">
        <v>26.34</v>
      </c>
      <c r="O171" s="9">
        <f>LN(319.11)</f>
        <v>5.7655358709316831</v>
      </c>
      <c r="P171" s="9">
        <v>3.9</v>
      </c>
      <c r="Q171" s="9">
        <v>10.782616250721516</v>
      </c>
      <c r="R171" s="9">
        <v>0.36399999999999999</v>
      </c>
      <c r="S171" s="9">
        <v>0.61931252075722354</v>
      </c>
    </row>
    <row r="172" spans="1:19" ht="15.6" x14ac:dyDescent="0.3">
      <c r="A172" s="13" t="s">
        <v>21</v>
      </c>
      <c r="B172" s="2" t="s">
        <v>74</v>
      </c>
      <c r="C172" s="1">
        <v>2018</v>
      </c>
      <c r="D172" s="4" t="s">
        <v>158</v>
      </c>
      <c r="E172" s="5"/>
      <c r="F172" s="5"/>
      <c r="G172" s="5"/>
      <c r="H172" s="5"/>
      <c r="I172">
        <v>2</v>
      </c>
      <c r="J172" s="1">
        <v>1</v>
      </c>
      <c r="K172" s="1">
        <v>1</v>
      </c>
      <c r="L172" s="9"/>
      <c r="M172" s="9">
        <v>10.16</v>
      </c>
      <c r="N172" s="9">
        <v>17.13</v>
      </c>
      <c r="O172" s="9">
        <f>LN(358.79)</f>
        <v>5.8827372591162019</v>
      </c>
      <c r="P172" s="9">
        <v>0.9</v>
      </c>
      <c r="Q172" s="9">
        <v>11.098576007648532</v>
      </c>
      <c r="R172" s="9">
        <v>0.36399999999999999</v>
      </c>
      <c r="S172" s="9">
        <v>0.4065862554292719</v>
      </c>
    </row>
    <row r="173" spans="1:19" ht="15.6" x14ac:dyDescent="0.3">
      <c r="A173" s="13" t="s">
        <v>21</v>
      </c>
      <c r="B173" s="2" t="s">
        <v>74</v>
      </c>
      <c r="C173" s="1">
        <v>2019</v>
      </c>
      <c r="D173" s="4" t="s">
        <v>158</v>
      </c>
      <c r="E173" s="5"/>
      <c r="F173" s="5"/>
      <c r="G173" s="5"/>
      <c r="H173" s="5"/>
      <c r="I173">
        <v>2</v>
      </c>
      <c r="J173" s="1">
        <v>1</v>
      </c>
      <c r="K173" s="1">
        <v>1</v>
      </c>
      <c r="L173" s="9"/>
      <c r="M173" s="9">
        <v>8.1199999999999992</v>
      </c>
      <c r="N173" s="9">
        <v>17.72</v>
      </c>
      <c r="O173" s="9">
        <f>LN(365.18)</f>
        <v>5.9003903827085873</v>
      </c>
      <c r="P173" s="12">
        <v>0.7</v>
      </c>
      <c r="Q173" s="9">
        <v>11.472093053729052</v>
      </c>
      <c r="R173" s="9">
        <v>0.36399999999999999</v>
      </c>
      <c r="S173" s="9">
        <v>0.54171397618725192</v>
      </c>
    </row>
    <row r="174" spans="1:19" ht="15.6" x14ac:dyDescent="0.3">
      <c r="A174" s="13" t="s">
        <v>21</v>
      </c>
      <c r="B174" s="2" t="s">
        <v>74</v>
      </c>
      <c r="C174" s="1">
        <v>2020</v>
      </c>
      <c r="D174" s="4" t="s">
        <v>158</v>
      </c>
      <c r="E174" s="5"/>
      <c r="F174" s="5"/>
      <c r="G174" s="5"/>
      <c r="H174" s="5"/>
      <c r="I174">
        <v>2</v>
      </c>
      <c r="J174" s="1">
        <v>1</v>
      </c>
      <c r="K174" s="1">
        <v>1</v>
      </c>
      <c r="L174" s="9"/>
      <c r="M174" s="9">
        <v>5.82</v>
      </c>
      <c r="N174" s="9">
        <v>15.03</v>
      </c>
      <c r="O174" s="9">
        <f>LN(337.46)</f>
        <v>5.8214469847701915</v>
      </c>
      <c r="P174" s="12">
        <v>-0.1</v>
      </c>
      <c r="Q174" s="9">
        <v>11.915833974430027</v>
      </c>
      <c r="R174" s="9">
        <v>0.36399999999999999</v>
      </c>
      <c r="S174" s="9">
        <v>0.61265096880702063</v>
      </c>
    </row>
    <row r="175" spans="1:19" ht="15.6" x14ac:dyDescent="0.3">
      <c r="A175" s="13" t="s">
        <v>21</v>
      </c>
      <c r="B175" s="2" t="s">
        <v>74</v>
      </c>
      <c r="C175" s="1">
        <v>2021</v>
      </c>
      <c r="D175" s="4" t="s">
        <v>158</v>
      </c>
      <c r="E175" s="5"/>
      <c r="F175" s="5"/>
      <c r="G175" s="5"/>
      <c r="H175" s="5"/>
      <c r="I175">
        <v>1.6</v>
      </c>
      <c r="J175" s="1">
        <v>1</v>
      </c>
      <c r="K175" s="1">
        <v>0.6</v>
      </c>
      <c r="L175" s="9">
        <v>3.02</v>
      </c>
      <c r="M175" s="9">
        <v>7.91</v>
      </c>
      <c r="N175" s="9">
        <v>13.08</v>
      </c>
      <c r="O175" s="9">
        <f>LN(373.78)</f>
        <v>5.9236673890421567</v>
      </c>
      <c r="P175" s="12">
        <v>2.5</v>
      </c>
      <c r="Q175" s="9">
        <v>12.389439489154782</v>
      </c>
      <c r="R175" s="9">
        <v>0.36399999999999999</v>
      </c>
      <c r="S175" s="9">
        <v>0.3950951296768796</v>
      </c>
    </row>
    <row r="176" spans="1:19" ht="15.6" x14ac:dyDescent="0.3">
      <c r="A176" s="13" t="s">
        <v>21</v>
      </c>
      <c r="B176" s="2" t="s">
        <v>74</v>
      </c>
      <c r="C176" s="1">
        <v>2022</v>
      </c>
      <c r="D176" s="4" t="s">
        <v>158</v>
      </c>
      <c r="E176" s="5">
        <v>51.5</v>
      </c>
      <c r="F176" s="5">
        <v>14</v>
      </c>
      <c r="G176" s="5">
        <v>54.9</v>
      </c>
      <c r="H176" s="5">
        <v>86.8</v>
      </c>
      <c r="I176">
        <v>1.8</v>
      </c>
      <c r="J176" s="1">
        <v>1</v>
      </c>
      <c r="K176" s="1">
        <v>0.8</v>
      </c>
      <c r="L176" s="9">
        <v>2.62</v>
      </c>
      <c r="M176" s="9">
        <v>4.71</v>
      </c>
      <c r="N176" s="9">
        <v>7.88</v>
      </c>
      <c r="O176" s="9">
        <f>LN(407.61)</f>
        <v>6.0103108349043417</v>
      </c>
      <c r="P176" s="12">
        <v>3.4</v>
      </c>
      <c r="Q176" s="9">
        <v>12.392614451199822</v>
      </c>
      <c r="R176" s="9">
        <v>0.36399999999999999</v>
      </c>
      <c r="S176" s="9">
        <v>0.40158081447212829</v>
      </c>
    </row>
    <row r="177" spans="1:19" ht="15.6" x14ac:dyDescent="0.3">
      <c r="A177" s="13" t="s">
        <v>21</v>
      </c>
      <c r="B177" s="2" t="s">
        <v>74</v>
      </c>
      <c r="C177" s="1">
        <v>2023</v>
      </c>
      <c r="D177" s="4" t="s">
        <v>158</v>
      </c>
      <c r="E177" s="5"/>
      <c r="F177" s="5"/>
      <c r="G177" s="5"/>
      <c r="H177" s="5"/>
      <c r="I177">
        <v>2</v>
      </c>
      <c r="J177" s="1">
        <v>1</v>
      </c>
      <c r="K177" s="1">
        <v>1</v>
      </c>
      <c r="L177" s="9">
        <v>2.0499999999999998</v>
      </c>
      <c r="M177" s="9">
        <v>4.97</v>
      </c>
      <c r="N177" s="9">
        <v>9.17</v>
      </c>
      <c r="O177" s="9">
        <f>LN(399.71)</f>
        <v>5.9907392841683871</v>
      </c>
      <c r="P177" s="12">
        <v>2.5</v>
      </c>
      <c r="Q177" s="9">
        <v>12.508452425555014</v>
      </c>
      <c r="R177" s="9">
        <v>0.36399999999999999</v>
      </c>
      <c r="S177" s="9">
        <v>0.45844834913068383</v>
      </c>
    </row>
    <row r="178" spans="1:19" ht="15.6" x14ac:dyDescent="0.3">
      <c r="A178" s="13" t="s">
        <v>22</v>
      </c>
      <c r="B178" s="2" t="s">
        <v>75</v>
      </c>
      <c r="C178" s="1">
        <v>2016</v>
      </c>
      <c r="D178" s="4" t="s">
        <v>158</v>
      </c>
      <c r="E178" s="5"/>
      <c r="F178" s="5"/>
      <c r="G178" s="5"/>
      <c r="H178" s="5"/>
      <c r="I178">
        <v>0.9</v>
      </c>
      <c r="J178" s="1">
        <v>0.5</v>
      </c>
      <c r="K178" s="1">
        <v>0.4</v>
      </c>
      <c r="L178" s="9">
        <v>2.75</v>
      </c>
      <c r="M178" s="9">
        <v>12.02</v>
      </c>
      <c r="N178" s="9">
        <v>19.37</v>
      </c>
      <c r="O178" s="9">
        <f>LN(301.26)</f>
        <v>5.7079736792746694</v>
      </c>
      <c r="P178" s="12">
        <v>2.1</v>
      </c>
      <c r="Q178" s="9">
        <v>13.558471489438935</v>
      </c>
      <c r="R178" s="9">
        <v>0.33300000000000002</v>
      </c>
      <c r="S178" s="9">
        <v>0.37952615803180501</v>
      </c>
    </row>
    <row r="179" spans="1:19" ht="15.6" x14ac:dyDescent="0.3">
      <c r="A179" s="13" t="s">
        <v>22</v>
      </c>
      <c r="B179" s="2" t="s">
        <v>75</v>
      </c>
      <c r="C179" s="1">
        <v>2017</v>
      </c>
      <c r="D179" s="4" t="s">
        <v>158</v>
      </c>
      <c r="E179" s="5"/>
      <c r="F179" s="5"/>
      <c r="G179" s="5"/>
      <c r="H179" s="5"/>
      <c r="I179">
        <v>1.1000000000000001</v>
      </c>
      <c r="J179" s="1">
        <v>0.5</v>
      </c>
      <c r="K179" s="1">
        <v>0.6</v>
      </c>
      <c r="L179" s="9">
        <v>2.8</v>
      </c>
      <c r="M179" s="9">
        <v>10.01</v>
      </c>
      <c r="N179" s="9">
        <v>15.16</v>
      </c>
      <c r="O179" s="9">
        <f>LN(319.11)</f>
        <v>5.7655358709316831</v>
      </c>
      <c r="P179" s="9">
        <v>3.9</v>
      </c>
      <c r="Q179" s="9">
        <v>13.546845183131806</v>
      </c>
      <c r="R179" s="9">
        <v>0.33300000000000002</v>
      </c>
      <c r="S179" s="9">
        <v>0.34001875983615887</v>
      </c>
    </row>
    <row r="180" spans="1:19" ht="15.6" x14ac:dyDescent="0.3">
      <c r="A180" s="13" t="s">
        <v>22</v>
      </c>
      <c r="B180" s="2" t="s">
        <v>75</v>
      </c>
      <c r="C180" s="1">
        <v>2018</v>
      </c>
      <c r="D180" s="4" t="s">
        <v>158</v>
      </c>
      <c r="E180" s="5"/>
      <c r="F180" s="5"/>
      <c r="G180" s="5"/>
      <c r="H180" s="5"/>
      <c r="I180">
        <v>1.3</v>
      </c>
      <c r="J180" s="1">
        <v>0.5</v>
      </c>
      <c r="K180" s="1">
        <v>0.8</v>
      </c>
      <c r="L180" s="9">
        <v>4.1399999999999997</v>
      </c>
      <c r="M180" s="9">
        <v>11.56</v>
      </c>
      <c r="N180" s="9">
        <v>16.77</v>
      </c>
      <c r="O180" s="9">
        <f>LN(358.79)</f>
        <v>5.8827372591162019</v>
      </c>
      <c r="P180" s="9">
        <v>0.9</v>
      </c>
      <c r="Q180" s="9">
        <v>13.602238126445327</v>
      </c>
      <c r="R180" s="9">
        <v>0.4</v>
      </c>
      <c r="S180" s="9">
        <v>0.31080060796894804</v>
      </c>
    </row>
    <row r="181" spans="1:19" ht="15.6" x14ac:dyDescent="0.3">
      <c r="A181" s="13" t="s">
        <v>22</v>
      </c>
      <c r="B181" s="2" t="s">
        <v>75</v>
      </c>
      <c r="C181" s="1">
        <v>2019</v>
      </c>
      <c r="D181" s="4" t="s">
        <v>158</v>
      </c>
      <c r="E181" s="5"/>
      <c r="F181" s="5"/>
      <c r="G181" s="5"/>
      <c r="H181" s="5"/>
      <c r="I181">
        <v>1.6</v>
      </c>
      <c r="J181" s="1">
        <v>1</v>
      </c>
      <c r="K181" s="1">
        <v>0.6</v>
      </c>
      <c r="L181" s="9">
        <v>3.65</v>
      </c>
      <c r="M181" s="9">
        <v>11.71</v>
      </c>
      <c r="N181" s="9">
        <v>16.22</v>
      </c>
      <c r="O181" s="9">
        <f>LN(365.18)</f>
        <v>5.9003903827085873</v>
      </c>
      <c r="P181" s="12">
        <v>0.7</v>
      </c>
      <c r="Q181" s="9">
        <v>13.637386977325312</v>
      </c>
      <c r="R181" s="9">
        <v>0.45500000000000002</v>
      </c>
      <c r="S181" s="9">
        <v>0.27810128352048602</v>
      </c>
    </row>
    <row r="182" spans="1:19" ht="15.6" x14ac:dyDescent="0.3">
      <c r="A182" s="13" t="s">
        <v>22</v>
      </c>
      <c r="B182" s="2" t="s">
        <v>75</v>
      </c>
      <c r="C182" s="1">
        <v>2020</v>
      </c>
      <c r="D182" s="4" t="s">
        <v>158</v>
      </c>
      <c r="E182" s="5"/>
      <c r="F182" s="5"/>
      <c r="G182" s="5"/>
      <c r="H182" s="5"/>
      <c r="I182">
        <v>1.6</v>
      </c>
      <c r="J182" s="1">
        <v>1</v>
      </c>
      <c r="K182" s="1">
        <v>0.6</v>
      </c>
      <c r="L182" s="9">
        <v>3.35</v>
      </c>
      <c r="M182" s="9">
        <v>11.68</v>
      </c>
      <c r="N182" s="9">
        <v>15.28</v>
      </c>
      <c r="O182" s="9">
        <f>LN(337.46)</f>
        <v>5.8214469847701915</v>
      </c>
      <c r="P182" s="12">
        <v>-0.1</v>
      </c>
      <c r="Q182" s="9">
        <v>13.648834765376002</v>
      </c>
      <c r="R182" s="9">
        <v>0.45500000000000002</v>
      </c>
      <c r="S182" s="9">
        <v>0.23568355318651252</v>
      </c>
    </row>
    <row r="183" spans="1:19" ht="15.6" x14ac:dyDescent="0.3">
      <c r="A183" s="13" t="s">
        <v>22</v>
      </c>
      <c r="B183" s="2" t="s">
        <v>75</v>
      </c>
      <c r="C183" s="1">
        <v>2021</v>
      </c>
      <c r="D183" s="4" t="s">
        <v>158</v>
      </c>
      <c r="E183" s="5">
        <v>76.7</v>
      </c>
      <c r="F183" s="5">
        <v>79.099999999999994</v>
      </c>
      <c r="G183" s="5">
        <v>68.599999999999994</v>
      </c>
      <c r="H183" s="5">
        <v>88.6</v>
      </c>
      <c r="I183">
        <v>1.8</v>
      </c>
      <c r="J183" s="1">
        <v>1</v>
      </c>
      <c r="K183" s="1">
        <v>0.8</v>
      </c>
      <c r="L183" s="9">
        <v>2.7</v>
      </c>
      <c r="M183" s="9">
        <v>10.88</v>
      </c>
      <c r="N183" s="9">
        <v>14.02</v>
      </c>
      <c r="O183" s="9">
        <f>LN(373.78)</f>
        <v>5.9236673890421567</v>
      </c>
      <c r="P183" s="12">
        <v>2.5</v>
      </c>
      <c r="Q183" s="9">
        <v>13.67300069350715</v>
      </c>
      <c r="R183" s="9">
        <v>0.5</v>
      </c>
      <c r="S183" s="9">
        <v>0.22385228424581316</v>
      </c>
    </row>
    <row r="184" spans="1:19" ht="15.6" x14ac:dyDescent="0.3">
      <c r="A184" s="13" t="s">
        <v>22</v>
      </c>
      <c r="B184" s="2" t="s">
        <v>75</v>
      </c>
      <c r="C184" s="1">
        <v>2022</v>
      </c>
      <c r="D184" s="4" t="s">
        <v>158</v>
      </c>
      <c r="E184" s="5">
        <v>69.8</v>
      </c>
      <c r="F184" s="5">
        <v>70.099999999999994</v>
      </c>
      <c r="G184" s="5">
        <v>66.5</v>
      </c>
      <c r="H184" s="5">
        <v>75.3</v>
      </c>
      <c r="I184">
        <v>1.8</v>
      </c>
      <c r="J184" s="1">
        <v>1</v>
      </c>
      <c r="K184" s="1">
        <v>0.8</v>
      </c>
      <c r="L184" s="9">
        <v>1.89</v>
      </c>
      <c r="M184" s="9">
        <v>9.14</v>
      </c>
      <c r="N184" s="9">
        <v>12.84</v>
      </c>
      <c r="O184" s="9">
        <f>LN(407.61)</f>
        <v>6.0103108349043417</v>
      </c>
      <c r="P184" s="12">
        <v>3.4</v>
      </c>
      <c r="Q184" s="9">
        <v>13.713431319689516</v>
      </c>
      <c r="R184" s="9">
        <v>0.53800000000000003</v>
      </c>
      <c r="S184" s="9">
        <v>0.28784284540366217</v>
      </c>
    </row>
    <row r="185" spans="1:19" ht="15.6" x14ac:dyDescent="0.3">
      <c r="A185" s="13" t="s">
        <v>22</v>
      </c>
      <c r="B185" s="2" t="s">
        <v>75</v>
      </c>
      <c r="C185" s="1">
        <v>2023</v>
      </c>
      <c r="D185" s="4" t="s">
        <v>158</v>
      </c>
      <c r="E185" s="5">
        <v>76.7</v>
      </c>
      <c r="F185" s="5">
        <v>79.099999999999994</v>
      </c>
      <c r="G185" s="5">
        <v>68.599999999999994</v>
      </c>
      <c r="H185" s="5">
        <v>88.6</v>
      </c>
      <c r="I185">
        <v>1.3</v>
      </c>
      <c r="J185" s="1">
        <v>0.5</v>
      </c>
      <c r="K185" s="1">
        <v>0.8</v>
      </c>
      <c r="L185" s="9">
        <v>1.82</v>
      </c>
      <c r="M185" s="9">
        <v>10.5</v>
      </c>
      <c r="N185" s="9">
        <v>16.02</v>
      </c>
      <c r="O185" s="9">
        <f>LN(399.71)</f>
        <v>5.9907392841683871</v>
      </c>
      <c r="P185" s="12">
        <v>2.5</v>
      </c>
      <c r="Q185" s="9">
        <v>13.901593754327509</v>
      </c>
      <c r="R185" s="9">
        <v>0.53800000000000003</v>
      </c>
      <c r="S185" s="9">
        <v>0.34431694004112318</v>
      </c>
    </row>
    <row r="186" spans="1:19" ht="15.6" x14ac:dyDescent="0.3">
      <c r="A186" s="13" t="s">
        <v>23</v>
      </c>
      <c r="B186" s="2" t="s">
        <v>76</v>
      </c>
      <c r="C186" s="1">
        <v>2016</v>
      </c>
      <c r="D186" s="4" t="s">
        <v>161</v>
      </c>
      <c r="E186" s="5"/>
      <c r="F186" s="5"/>
      <c r="G186" s="5"/>
      <c r="H186" s="5"/>
      <c r="I186">
        <v>0</v>
      </c>
      <c r="J186" s="1">
        <v>0</v>
      </c>
      <c r="K186" s="1">
        <v>0</v>
      </c>
      <c r="L186" s="9"/>
      <c r="M186" s="9">
        <v>4.92</v>
      </c>
      <c r="N186" s="9">
        <v>6.78</v>
      </c>
      <c r="O186" s="9">
        <f>LN(301.26)</f>
        <v>5.7079736792746694</v>
      </c>
      <c r="P186" s="12">
        <v>2.1</v>
      </c>
      <c r="Q186" s="9">
        <v>11.417482276320619</v>
      </c>
      <c r="R186" s="9">
        <v>0.16700000000000001</v>
      </c>
      <c r="S186" s="9">
        <v>0.27553164570887928</v>
      </c>
    </row>
    <row r="187" spans="1:19" ht="15.6" x14ac:dyDescent="0.3">
      <c r="A187" s="13" t="s">
        <v>23</v>
      </c>
      <c r="B187" s="2" t="s">
        <v>76</v>
      </c>
      <c r="C187" s="1">
        <v>2017</v>
      </c>
      <c r="D187" s="4" t="s">
        <v>161</v>
      </c>
      <c r="E187" s="5"/>
      <c r="F187" s="5"/>
      <c r="G187" s="5"/>
      <c r="H187" s="5"/>
      <c r="I187">
        <v>0</v>
      </c>
      <c r="J187" s="1">
        <v>0</v>
      </c>
      <c r="K187" s="1">
        <v>0</v>
      </c>
      <c r="L187" s="9"/>
      <c r="M187" s="9">
        <v>6.93</v>
      </c>
      <c r="N187" s="9">
        <v>9.76</v>
      </c>
      <c r="O187" s="9">
        <f>LN(319.11)</f>
        <v>5.7655358709316831</v>
      </c>
      <c r="P187" s="9">
        <v>3.9</v>
      </c>
      <c r="Q187" s="9">
        <v>11.572401191765337</v>
      </c>
      <c r="R187" s="9">
        <v>0.16700000000000001</v>
      </c>
      <c r="S187" s="9">
        <v>0.29023443389115033</v>
      </c>
    </row>
    <row r="188" spans="1:19" ht="15.6" x14ac:dyDescent="0.3">
      <c r="A188" s="13" t="s">
        <v>23</v>
      </c>
      <c r="B188" s="2" t="s">
        <v>76</v>
      </c>
      <c r="C188" s="1">
        <v>2018</v>
      </c>
      <c r="D188" s="4" t="s">
        <v>161</v>
      </c>
      <c r="E188" s="5"/>
      <c r="F188" s="5"/>
      <c r="G188" s="5"/>
      <c r="H188" s="5"/>
      <c r="I188">
        <v>2</v>
      </c>
      <c r="J188" s="1">
        <v>1</v>
      </c>
      <c r="K188" s="1">
        <v>1</v>
      </c>
      <c r="L188" s="9"/>
      <c r="M188" s="9">
        <v>9.07</v>
      </c>
      <c r="N188" s="9">
        <v>11.98</v>
      </c>
      <c r="O188" s="9">
        <f>LN(358.79)</f>
        <v>5.8827372591162019</v>
      </c>
      <c r="P188" s="9">
        <v>0.9</v>
      </c>
      <c r="Q188" s="9">
        <v>11.607853753681614</v>
      </c>
      <c r="R188" s="9">
        <v>0.16700000000000001</v>
      </c>
      <c r="S188" s="9">
        <v>0.24263809818294257</v>
      </c>
    </row>
    <row r="189" spans="1:19" ht="15.6" x14ac:dyDescent="0.3">
      <c r="A189" s="13" t="s">
        <v>23</v>
      </c>
      <c r="B189" s="2" t="s">
        <v>76</v>
      </c>
      <c r="C189" s="1">
        <v>2019</v>
      </c>
      <c r="D189" s="4" t="s">
        <v>161</v>
      </c>
      <c r="E189" s="5"/>
      <c r="F189" s="5"/>
      <c r="G189" s="5"/>
      <c r="H189" s="5"/>
      <c r="I189">
        <v>2</v>
      </c>
      <c r="J189" s="1">
        <v>1</v>
      </c>
      <c r="K189" s="1">
        <v>1</v>
      </c>
      <c r="L189" s="9"/>
      <c r="M189" s="9">
        <v>13.41</v>
      </c>
      <c r="N189" s="9">
        <v>17.350000000000001</v>
      </c>
      <c r="O189" s="9">
        <f>LN(365.18)</f>
        <v>5.9003903827085873</v>
      </c>
      <c r="P189" s="12">
        <v>0.7</v>
      </c>
      <c r="Q189" s="9">
        <v>11.744172097467565</v>
      </c>
      <c r="R189" s="9">
        <v>0.28599999999999998</v>
      </c>
      <c r="S189" s="9">
        <v>0.22681860383916455</v>
      </c>
    </row>
    <row r="190" spans="1:19" ht="15.6" x14ac:dyDescent="0.3">
      <c r="A190" s="13" t="s">
        <v>23</v>
      </c>
      <c r="B190" s="2" t="s">
        <v>76</v>
      </c>
      <c r="C190" s="1">
        <v>2020</v>
      </c>
      <c r="D190" s="4" t="s">
        <v>161</v>
      </c>
      <c r="E190" s="5"/>
      <c r="F190" s="5"/>
      <c r="G190" s="5"/>
      <c r="H190" s="5"/>
      <c r="I190">
        <v>2</v>
      </c>
      <c r="J190" s="1">
        <v>1</v>
      </c>
      <c r="K190" s="1">
        <v>1</v>
      </c>
      <c r="L190" s="9"/>
      <c r="M190" s="9">
        <v>13.26</v>
      </c>
      <c r="N190" s="9">
        <v>17.55</v>
      </c>
      <c r="O190" s="9">
        <f>LN(337.46)</f>
        <v>5.8214469847701915</v>
      </c>
      <c r="P190" s="12">
        <v>-0.1</v>
      </c>
      <c r="Q190" s="9">
        <v>11.945142851717524</v>
      </c>
      <c r="R190" s="9">
        <v>0.28599999999999998</v>
      </c>
      <c r="S190" s="9">
        <v>0.24461435609183019</v>
      </c>
    </row>
    <row r="191" spans="1:19" ht="15.6" x14ac:dyDescent="0.3">
      <c r="A191" s="13" t="s">
        <v>23</v>
      </c>
      <c r="B191" s="2" t="s">
        <v>76</v>
      </c>
      <c r="C191" s="1">
        <v>2021</v>
      </c>
      <c r="D191" s="4" t="s">
        <v>161</v>
      </c>
      <c r="E191" s="5">
        <v>30.9</v>
      </c>
      <c r="F191" s="5">
        <v>37.299999999999997</v>
      </c>
      <c r="G191" s="5">
        <v>40.799999999999997</v>
      </c>
      <c r="H191" s="5">
        <v>13.7</v>
      </c>
      <c r="I191">
        <v>1.8</v>
      </c>
      <c r="J191" s="1">
        <v>1</v>
      </c>
      <c r="K191" s="1">
        <v>0.8</v>
      </c>
      <c r="L191" s="9">
        <v>8.8000000000000007</v>
      </c>
      <c r="M191" s="9">
        <v>14.54</v>
      </c>
      <c r="N191" s="9">
        <v>19.53</v>
      </c>
      <c r="O191" s="9">
        <f>LN(373.78)</f>
        <v>5.9236673890421567</v>
      </c>
      <c r="P191" s="12">
        <v>2.5</v>
      </c>
      <c r="Q191" s="9">
        <v>12.055755441868321</v>
      </c>
      <c r="R191" s="9">
        <v>0.375</v>
      </c>
      <c r="S191" s="9">
        <v>0.25542312899870412</v>
      </c>
    </row>
    <row r="192" spans="1:19" ht="15.6" x14ac:dyDescent="0.3">
      <c r="A192" s="13" t="s">
        <v>23</v>
      </c>
      <c r="B192" s="2" t="s">
        <v>76</v>
      </c>
      <c r="C192" s="1">
        <v>2022</v>
      </c>
      <c r="D192" s="4" t="s">
        <v>161</v>
      </c>
      <c r="E192" s="5">
        <v>58.3</v>
      </c>
      <c r="F192" s="5">
        <v>49.4</v>
      </c>
      <c r="G192" s="5">
        <v>82.5</v>
      </c>
      <c r="H192" s="5">
        <v>33.5</v>
      </c>
      <c r="I192">
        <v>2</v>
      </c>
      <c r="J192" s="1">
        <v>1</v>
      </c>
      <c r="K192" s="1">
        <v>1</v>
      </c>
      <c r="L192" s="9">
        <v>6.04</v>
      </c>
      <c r="M192" s="9">
        <v>15.3</v>
      </c>
      <c r="N192" s="9">
        <v>20.97</v>
      </c>
      <c r="O192" s="9">
        <f>LN(407.61)</f>
        <v>6.0103108349043417</v>
      </c>
      <c r="P192" s="12">
        <v>3.4</v>
      </c>
      <c r="Q192" s="9">
        <v>12.115064199985541</v>
      </c>
      <c r="R192" s="9">
        <v>0.375</v>
      </c>
      <c r="S192" s="9">
        <v>0.27040229570322338</v>
      </c>
    </row>
    <row r="193" spans="1:19" ht="15.6" x14ac:dyDescent="0.3">
      <c r="A193" s="13" t="s">
        <v>23</v>
      </c>
      <c r="B193" s="2" t="s">
        <v>76</v>
      </c>
      <c r="C193" s="1">
        <v>2023</v>
      </c>
      <c r="D193" s="4" t="s">
        <v>161</v>
      </c>
      <c r="E193" s="5">
        <v>30.9</v>
      </c>
      <c r="F193" s="5">
        <v>37.299999999999997</v>
      </c>
      <c r="G193" s="5">
        <v>40.799999999999997</v>
      </c>
      <c r="H193" s="5">
        <v>13.7</v>
      </c>
      <c r="I193">
        <v>2</v>
      </c>
      <c r="J193" s="1">
        <v>1</v>
      </c>
      <c r="K193" s="1">
        <v>1</v>
      </c>
      <c r="L193" s="9">
        <v>5.78</v>
      </c>
      <c r="M193" s="9">
        <v>12.64</v>
      </c>
      <c r="N193" s="9">
        <v>16.27</v>
      </c>
      <c r="O193" s="9">
        <f>LN(399.71)</f>
        <v>5.9907392841683871</v>
      </c>
      <c r="P193" s="12">
        <v>2.5</v>
      </c>
      <c r="Q193" s="9">
        <v>12.169616108519559</v>
      </c>
      <c r="R193" s="9">
        <v>0.44400000000000001</v>
      </c>
      <c r="S193" s="9">
        <v>0.22308131093134204</v>
      </c>
    </row>
    <row r="194" spans="1:19" ht="15.6" x14ac:dyDescent="0.3">
      <c r="A194" s="13" t="s">
        <v>24</v>
      </c>
      <c r="B194" s="2" t="s">
        <v>77</v>
      </c>
      <c r="C194" s="1">
        <v>2016</v>
      </c>
      <c r="D194" s="4" t="s">
        <v>163</v>
      </c>
      <c r="E194" s="5"/>
      <c r="F194" s="5"/>
      <c r="G194" s="5"/>
      <c r="H194" s="5"/>
      <c r="I194">
        <v>2</v>
      </c>
      <c r="J194" s="1">
        <v>1</v>
      </c>
      <c r="K194" s="1">
        <v>1</v>
      </c>
      <c r="L194" s="9">
        <v>0.82</v>
      </c>
      <c r="M194" s="9">
        <v>4.42</v>
      </c>
      <c r="N194" s="9">
        <v>8.68</v>
      </c>
      <c r="O194" s="9">
        <f>LN(301.26)</f>
        <v>5.7079736792746694</v>
      </c>
      <c r="P194" s="12">
        <v>2.1</v>
      </c>
      <c r="Q194" s="9">
        <v>15.066966958986269</v>
      </c>
      <c r="R194" s="9">
        <v>0.23076923076923078</v>
      </c>
      <c r="S194" s="9">
        <v>0.49083603447930585</v>
      </c>
    </row>
    <row r="195" spans="1:19" ht="15.6" x14ac:dyDescent="0.3">
      <c r="A195" s="13" t="s">
        <v>24</v>
      </c>
      <c r="B195" s="2" t="s">
        <v>77</v>
      </c>
      <c r="C195" s="1">
        <v>2017</v>
      </c>
      <c r="D195" s="4" t="s">
        <v>163</v>
      </c>
      <c r="E195" s="5"/>
      <c r="F195" s="5"/>
      <c r="G195" s="5"/>
      <c r="H195" s="5"/>
      <c r="I195">
        <v>2</v>
      </c>
      <c r="J195" s="1">
        <v>1</v>
      </c>
      <c r="K195" s="1">
        <v>1</v>
      </c>
      <c r="L195" s="9">
        <v>0.82</v>
      </c>
      <c r="M195" s="9">
        <v>3.82</v>
      </c>
      <c r="N195" s="9">
        <v>7.68</v>
      </c>
      <c r="O195" s="9">
        <f>LN(319.11)</f>
        <v>5.7655358709316831</v>
      </c>
      <c r="P195" s="9">
        <v>3.9</v>
      </c>
      <c r="Q195" s="9">
        <v>15.119911875594669</v>
      </c>
      <c r="R195" s="9">
        <v>0.23076923076923078</v>
      </c>
      <c r="S195" s="9">
        <v>0.50253426824496772</v>
      </c>
    </row>
    <row r="196" spans="1:19" ht="15.6" x14ac:dyDescent="0.3">
      <c r="A196" s="13" t="s">
        <v>24</v>
      </c>
      <c r="B196" s="2" t="s">
        <v>77</v>
      </c>
      <c r="C196" s="1">
        <v>2018</v>
      </c>
      <c r="D196" s="4" t="s">
        <v>163</v>
      </c>
      <c r="E196" s="5"/>
      <c r="F196" s="5"/>
      <c r="G196" s="5"/>
      <c r="H196" s="5"/>
      <c r="I196">
        <v>0.7</v>
      </c>
      <c r="J196" s="1">
        <v>0.5</v>
      </c>
      <c r="K196" s="1">
        <v>0.2</v>
      </c>
      <c r="L196" s="9">
        <v>0.56999999999999995</v>
      </c>
      <c r="M196" s="9">
        <v>3.19</v>
      </c>
      <c r="N196" s="9">
        <v>6.64</v>
      </c>
      <c r="O196" s="9">
        <f>LN(358.79)</f>
        <v>5.8827372591162019</v>
      </c>
      <c r="P196" s="9">
        <v>0.9</v>
      </c>
      <c r="Q196" s="9">
        <v>15.225556357201443</v>
      </c>
      <c r="R196" s="9">
        <v>0.2857142857142857</v>
      </c>
      <c r="S196" s="9">
        <v>0.52019497366180822</v>
      </c>
    </row>
    <row r="197" spans="1:19" ht="15.6" x14ac:dyDescent="0.3">
      <c r="A197" s="13" t="s">
        <v>24</v>
      </c>
      <c r="B197" s="2" t="s">
        <v>77</v>
      </c>
      <c r="C197" s="1">
        <v>2019</v>
      </c>
      <c r="D197" s="4" t="s">
        <v>163</v>
      </c>
      <c r="E197" s="5"/>
      <c r="F197" s="5"/>
      <c r="G197" s="5"/>
      <c r="H197" s="5"/>
      <c r="I197">
        <v>1.8</v>
      </c>
      <c r="J197" s="1">
        <v>1</v>
      </c>
      <c r="K197" s="1">
        <v>0.8</v>
      </c>
      <c r="L197" s="9">
        <v>0.53</v>
      </c>
      <c r="M197" s="9">
        <v>4.08</v>
      </c>
      <c r="N197" s="9">
        <v>8.2799999999999994</v>
      </c>
      <c r="O197" s="9">
        <f>LN(365.18)</f>
        <v>5.9003903827085873</v>
      </c>
      <c r="P197" s="12">
        <v>0.7</v>
      </c>
      <c r="Q197" s="9">
        <v>15.241608875579514</v>
      </c>
      <c r="R197" s="9">
        <v>0.2857142857142857</v>
      </c>
      <c r="S197" s="9">
        <v>0.5074659567603228</v>
      </c>
    </row>
    <row r="198" spans="1:19" ht="15.6" x14ac:dyDescent="0.3">
      <c r="A198" s="13" t="s">
        <v>24</v>
      </c>
      <c r="B198" s="2" t="s">
        <v>77</v>
      </c>
      <c r="C198" s="1">
        <v>2020</v>
      </c>
      <c r="D198" s="4" t="s">
        <v>163</v>
      </c>
      <c r="E198" s="5"/>
      <c r="F198" s="5"/>
      <c r="G198" s="5"/>
      <c r="H198" s="5"/>
      <c r="I198">
        <v>2</v>
      </c>
      <c r="J198" s="1">
        <v>1</v>
      </c>
      <c r="K198" s="1">
        <v>1</v>
      </c>
      <c r="L198" s="9">
        <v>0.48</v>
      </c>
      <c r="M198" s="9">
        <v>2.0299999999999998</v>
      </c>
      <c r="N198" s="9">
        <v>4.2</v>
      </c>
      <c r="O198" s="9">
        <f>LN(337.46)</f>
        <v>5.8214469847701915</v>
      </c>
      <c r="P198" s="12">
        <v>-0.1</v>
      </c>
      <c r="Q198" s="9">
        <v>15.2896163717612</v>
      </c>
      <c r="R198" s="9">
        <v>0.2857142857142857</v>
      </c>
      <c r="S198" s="9">
        <v>0.51598590286662016</v>
      </c>
    </row>
    <row r="199" spans="1:19" ht="15.6" x14ac:dyDescent="0.3">
      <c r="A199" s="13" t="s">
        <v>24</v>
      </c>
      <c r="B199" s="2" t="s">
        <v>77</v>
      </c>
      <c r="C199" s="1">
        <v>2021</v>
      </c>
      <c r="D199" s="4" t="s">
        <v>163</v>
      </c>
      <c r="E199" s="5">
        <v>74</v>
      </c>
      <c r="F199" s="5">
        <v>80.099999999999994</v>
      </c>
      <c r="G199" s="5">
        <v>63.5</v>
      </c>
      <c r="H199" s="5">
        <v>79.7</v>
      </c>
      <c r="I199">
        <v>1.5</v>
      </c>
      <c r="J199" s="1">
        <v>0.5</v>
      </c>
      <c r="K199" s="1">
        <v>1</v>
      </c>
      <c r="L199" s="9">
        <v>0.38</v>
      </c>
      <c r="M199" s="9">
        <v>3.19</v>
      </c>
      <c r="N199" s="9">
        <v>6.18</v>
      </c>
      <c r="O199" s="9">
        <f>LN(373.78)</f>
        <v>5.9236673890421567</v>
      </c>
      <c r="P199" s="12">
        <v>2.5</v>
      </c>
      <c r="Q199" s="9">
        <v>15.286815879908209</v>
      </c>
      <c r="R199" s="9">
        <v>0.2857142857142857</v>
      </c>
      <c r="S199" s="9">
        <v>0.48350094467952998</v>
      </c>
    </row>
    <row r="200" spans="1:19" ht="15.6" x14ac:dyDescent="0.3">
      <c r="A200" s="13" t="s">
        <v>24</v>
      </c>
      <c r="B200" s="2" t="s">
        <v>77</v>
      </c>
      <c r="C200" s="1">
        <v>2022</v>
      </c>
      <c r="D200" s="4" t="s">
        <v>163</v>
      </c>
      <c r="E200" s="5">
        <v>76</v>
      </c>
      <c r="F200" s="5">
        <v>79.900000000000006</v>
      </c>
      <c r="G200" s="5">
        <v>68.599999999999994</v>
      </c>
      <c r="H200" s="5">
        <v>80.599999999999994</v>
      </c>
      <c r="I200">
        <v>1.5</v>
      </c>
      <c r="J200" s="1">
        <v>0.5</v>
      </c>
      <c r="K200" s="1">
        <v>1</v>
      </c>
      <c r="L200" s="9">
        <v>0.47</v>
      </c>
      <c r="M200" s="9">
        <v>3.98</v>
      </c>
      <c r="N200" s="9">
        <v>7.86</v>
      </c>
      <c r="O200" s="9">
        <f>LN(407.61)</f>
        <v>6.0103108349043417</v>
      </c>
      <c r="P200" s="12">
        <v>3.4</v>
      </c>
      <c r="Q200" s="9">
        <v>15.331726648456005</v>
      </c>
      <c r="R200" s="9">
        <v>0.35714285714285715</v>
      </c>
      <c r="S200" s="9">
        <v>0.49392738504446915</v>
      </c>
    </row>
    <row r="201" spans="1:19" ht="15.6" x14ac:dyDescent="0.3">
      <c r="A201" s="13" t="s">
        <v>24</v>
      </c>
      <c r="B201" s="2" t="s">
        <v>77</v>
      </c>
      <c r="C201" s="1">
        <v>2023</v>
      </c>
      <c r="D201" s="4" t="s">
        <v>163</v>
      </c>
      <c r="E201" s="5">
        <v>74</v>
      </c>
      <c r="F201" s="5">
        <v>80.099999999999994</v>
      </c>
      <c r="G201" s="5">
        <v>63.5</v>
      </c>
      <c r="H201" s="5">
        <v>79.7</v>
      </c>
      <c r="I201">
        <v>2</v>
      </c>
      <c r="J201" s="1">
        <v>1</v>
      </c>
      <c r="K201" s="1">
        <v>1</v>
      </c>
      <c r="L201" s="9">
        <v>0.48</v>
      </c>
      <c r="M201" s="9">
        <v>7.71</v>
      </c>
      <c r="N201" s="9">
        <v>16.829999999999998</v>
      </c>
      <c r="O201" s="9">
        <f>LN(399.71)</f>
        <v>5.9907392841683871</v>
      </c>
      <c r="P201" s="12">
        <v>2.5</v>
      </c>
      <c r="Q201" s="9">
        <v>15.474348543773463</v>
      </c>
      <c r="R201" s="9">
        <v>0.33333333333333331</v>
      </c>
      <c r="S201" s="9">
        <v>0.54190481502428134</v>
      </c>
    </row>
    <row r="202" spans="1:19" ht="15.6" x14ac:dyDescent="0.3">
      <c r="A202" s="13" t="s">
        <v>25</v>
      </c>
      <c r="B202" s="2" t="s">
        <v>78</v>
      </c>
      <c r="C202" s="1">
        <v>2016</v>
      </c>
      <c r="D202" s="4" t="s">
        <v>164</v>
      </c>
      <c r="E202" s="5"/>
      <c r="F202" s="5"/>
      <c r="G202" s="5"/>
      <c r="H202" s="5"/>
      <c r="I202">
        <v>2</v>
      </c>
      <c r="J202" s="1">
        <v>1</v>
      </c>
      <c r="K202" s="1">
        <v>1</v>
      </c>
      <c r="L202" s="9">
        <v>1.43</v>
      </c>
      <c r="M202" s="9">
        <v>7.42</v>
      </c>
      <c r="N202" s="9">
        <v>16.18</v>
      </c>
      <c r="O202" s="9">
        <f>LN(301.26)</f>
        <v>5.7079736792746694</v>
      </c>
      <c r="P202" s="12">
        <v>2.1</v>
      </c>
      <c r="Q202" s="9">
        <v>13.11449248302376</v>
      </c>
      <c r="R202" s="9">
        <v>0.44440000000000002</v>
      </c>
      <c r="S202" s="9">
        <v>0.54137235929688765</v>
      </c>
    </row>
    <row r="203" spans="1:19" ht="15.6" x14ac:dyDescent="0.3">
      <c r="A203" s="13" t="s">
        <v>25</v>
      </c>
      <c r="B203" s="2" t="s">
        <v>78</v>
      </c>
      <c r="C203" s="1">
        <v>2017</v>
      </c>
      <c r="D203" s="4" t="s">
        <v>164</v>
      </c>
      <c r="E203" s="5"/>
      <c r="F203" s="5"/>
      <c r="G203" s="5"/>
      <c r="H203" s="5"/>
      <c r="I203">
        <v>2</v>
      </c>
      <c r="J203" s="1">
        <v>1</v>
      </c>
      <c r="K203" s="1">
        <v>1</v>
      </c>
      <c r="L203" s="9">
        <v>0.37</v>
      </c>
      <c r="M203" s="9">
        <v>3.56</v>
      </c>
      <c r="N203" s="9">
        <v>8.84</v>
      </c>
      <c r="O203" s="9">
        <f>LN(319.11)</f>
        <v>5.7655358709316831</v>
      </c>
      <c r="P203" s="9">
        <v>3.9</v>
      </c>
      <c r="Q203" s="9">
        <v>13.11449248302376</v>
      </c>
      <c r="R203" s="9">
        <v>0.25</v>
      </c>
      <c r="S203" s="9">
        <v>0.54137235929688765</v>
      </c>
    </row>
    <row r="204" spans="1:19" ht="15.6" x14ac:dyDescent="0.3">
      <c r="A204" s="13" t="s">
        <v>25</v>
      </c>
      <c r="B204" s="2" t="s">
        <v>78</v>
      </c>
      <c r="C204" s="1">
        <v>2018</v>
      </c>
      <c r="D204" s="4" t="s">
        <v>164</v>
      </c>
      <c r="E204" s="5"/>
      <c r="F204" s="5"/>
      <c r="G204" s="5"/>
      <c r="H204" s="5"/>
      <c r="I204">
        <v>2</v>
      </c>
      <c r="J204" s="1">
        <v>1</v>
      </c>
      <c r="K204" s="1">
        <v>1</v>
      </c>
      <c r="L204" s="9">
        <v>1.62</v>
      </c>
      <c r="M204" s="9">
        <v>7.04</v>
      </c>
      <c r="N204" s="9">
        <v>15.85</v>
      </c>
      <c r="O204" s="9">
        <f>LN(358.79)</f>
        <v>5.8827372591162019</v>
      </c>
      <c r="P204" s="9">
        <v>0.9</v>
      </c>
      <c r="Q204" s="9">
        <v>13.241652833395188</v>
      </c>
      <c r="R204" s="9">
        <v>0.44440000000000002</v>
      </c>
      <c r="S204" s="9">
        <v>0.55563523789913161</v>
      </c>
    </row>
    <row r="205" spans="1:19" ht="15.6" x14ac:dyDescent="0.3">
      <c r="A205" s="13" t="s">
        <v>25</v>
      </c>
      <c r="B205" s="2" t="s">
        <v>78</v>
      </c>
      <c r="C205" s="1">
        <v>2019</v>
      </c>
      <c r="D205" s="4" t="s">
        <v>164</v>
      </c>
      <c r="E205" s="5"/>
      <c r="F205" s="5"/>
      <c r="G205" s="5"/>
      <c r="H205" s="5"/>
      <c r="I205">
        <v>2</v>
      </c>
      <c r="J205" s="1">
        <v>1</v>
      </c>
      <c r="K205" s="1">
        <v>1</v>
      </c>
      <c r="L205" s="9">
        <v>0.48</v>
      </c>
      <c r="M205" s="9">
        <v>1.57</v>
      </c>
      <c r="N205" s="9">
        <v>3.29</v>
      </c>
      <c r="O205" s="9">
        <f>LN(365.18)</f>
        <v>5.9003903827085873</v>
      </c>
      <c r="P205" s="12">
        <v>0.7</v>
      </c>
      <c r="Q205" s="9">
        <v>13.241652833395188</v>
      </c>
      <c r="R205" s="9">
        <v>0.25</v>
      </c>
      <c r="S205" s="9">
        <v>0.55563523789913161</v>
      </c>
    </row>
    <row r="206" spans="1:19" ht="15.6" x14ac:dyDescent="0.3">
      <c r="A206" s="13" t="s">
        <v>25</v>
      </c>
      <c r="B206" s="2" t="s">
        <v>78</v>
      </c>
      <c r="C206" s="1">
        <v>2020</v>
      </c>
      <c r="D206" s="4" t="s">
        <v>164</v>
      </c>
      <c r="E206" s="5"/>
      <c r="F206" s="5"/>
      <c r="G206" s="5"/>
      <c r="H206" s="5"/>
      <c r="I206">
        <v>2</v>
      </c>
      <c r="J206" s="1">
        <v>1</v>
      </c>
      <c r="K206" s="1">
        <v>1</v>
      </c>
      <c r="L206" s="9">
        <v>1.44</v>
      </c>
      <c r="M206" s="9">
        <v>7.16</v>
      </c>
      <c r="N206" s="9">
        <v>17.61</v>
      </c>
      <c r="O206" s="9">
        <f>LN(337.46)</f>
        <v>5.8214469847701915</v>
      </c>
      <c r="P206" s="12">
        <v>-0.1</v>
      </c>
      <c r="Q206" s="9">
        <v>13.319655645128105</v>
      </c>
      <c r="R206" s="9">
        <v>0.44440000000000002</v>
      </c>
      <c r="S206" s="9">
        <v>0.59368853131926769</v>
      </c>
    </row>
    <row r="207" spans="1:19" ht="15.6" x14ac:dyDescent="0.3">
      <c r="A207" s="13" t="s">
        <v>25</v>
      </c>
      <c r="B207" s="2" t="s">
        <v>78</v>
      </c>
      <c r="C207" s="1">
        <v>2021</v>
      </c>
      <c r="D207" s="4" t="s">
        <v>164</v>
      </c>
      <c r="E207" s="5"/>
      <c r="F207" s="5"/>
      <c r="G207" s="5"/>
      <c r="H207" s="5"/>
      <c r="I207">
        <v>2</v>
      </c>
      <c r="J207" s="1">
        <v>1</v>
      </c>
      <c r="K207" s="1">
        <v>1</v>
      </c>
      <c r="L207" s="9">
        <v>0.32</v>
      </c>
      <c r="M207" s="9">
        <v>1.21</v>
      </c>
      <c r="N207" s="9">
        <v>2.06</v>
      </c>
      <c r="O207" s="9">
        <f>LN(373.78)</f>
        <v>5.9236673890421567</v>
      </c>
      <c r="P207" s="12">
        <v>2.5</v>
      </c>
      <c r="Q207" s="9">
        <v>13.319655645128105</v>
      </c>
      <c r="R207" s="9">
        <v>0.23100000000000001</v>
      </c>
      <c r="S207" s="9">
        <v>0.59368853131926769</v>
      </c>
    </row>
    <row r="208" spans="1:19" ht="15.6" x14ac:dyDescent="0.3">
      <c r="A208" s="13" t="s">
        <v>25</v>
      </c>
      <c r="B208" s="2" t="s">
        <v>78</v>
      </c>
      <c r="C208" s="1">
        <v>2022</v>
      </c>
      <c r="D208" s="4" t="s">
        <v>164</v>
      </c>
      <c r="E208" s="5"/>
      <c r="F208" s="5"/>
      <c r="G208" s="5"/>
      <c r="H208" s="5"/>
      <c r="I208">
        <v>2</v>
      </c>
      <c r="J208" s="1">
        <v>1</v>
      </c>
      <c r="K208" s="1">
        <v>1</v>
      </c>
      <c r="L208" s="9">
        <v>1.35</v>
      </c>
      <c r="M208" s="9">
        <v>7.25</v>
      </c>
      <c r="N208" s="9">
        <v>18.23</v>
      </c>
      <c r="O208" s="9">
        <f>LN(407.61)</f>
        <v>6.0103108349043417</v>
      </c>
      <c r="P208" s="12">
        <v>3.4</v>
      </c>
      <c r="Q208" s="9">
        <v>13.370316607627112</v>
      </c>
      <c r="R208" s="9">
        <v>0.44440000000000002</v>
      </c>
      <c r="S208" s="9">
        <v>0.60220071796472607</v>
      </c>
    </row>
    <row r="209" spans="1:19" ht="15.6" x14ac:dyDescent="0.3">
      <c r="A209" s="13" t="s">
        <v>25</v>
      </c>
      <c r="B209" s="2" t="s">
        <v>78</v>
      </c>
      <c r="C209" s="1">
        <v>2023</v>
      </c>
      <c r="D209" s="4" t="s">
        <v>164</v>
      </c>
      <c r="E209" s="5"/>
      <c r="F209" s="5"/>
      <c r="G209" s="5"/>
      <c r="H209" s="5"/>
      <c r="I209">
        <v>2</v>
      </c>
      <c r="J209" s="1">
        <v>1</v>
      </c>
      <c r="K209" s="1">
        <v>1</v>
      </c>
      <c r="L209" s="9">
        <v>0.38</v>
      </c>
      <c r="M209" s="9">
        <v>0.28000000000000003</v>
      </c>
      <c r="N209" s="9">
        <v>0.49</v>
      </c>
      <c r="O209" s="9">
        <f>LN(399.71)</f>
        <v>5.9907392841683871</v>
      </c>
      <c r="P209" s="12">
        <v>2.5</v>
      </c>
      <c r="Q209" s="9">
        <v>13.370316607627112</v>
      </c>
      <c r="R209" s="9">
        <v>0.23100000000000001</v>
      </c>
      <c r="S209" s="9">
        <v>0.60220071796472607</v>
      </c>
    </row>
    <row r="210" spans="1:19" ht="15.6" x14ac:dyDescent="0.3">
      <c r="A210" s="13" t="s">
        <v>26</v>
      </c>
      <c r="B210" s="2" t="s">
        <v>79</v>
      </c>
      <c r="C210" s="1">
        <v>2016</v>
      </c>
      <c r="D210" s="4" t="s">
        <v>158</v>
      </c>
      <c r="E210" s="5"/>
      <c r="F210" s="5"/>
      <c r="G210" s="5"/>
      <c r="H210" s="5"/>
      <c r="I210">
        <v>1.5</v>
      </c>
      <c r="J210" s="1">
        <v>0.5</v>
      </c>
      <c r="K210" s="1">
        <v>1</v>
      </c>
      <c r="L210" s="9">
        <v>1.31</v>
      </c>
      <c r="M210" s="9">
        <v>8</v>
      </c>
      <c r="N210" s="9">
        <v>19.690000000000001</v>
      </c>
      <c r="O210" s="9">
        <f>LN(301.26)</f>
        <v>5.7079736792746694</v>
      </c>
      <c r="P210" s="12">
        <v>2.1</v>
      </c>
      <c r="Q210" s="9">
        <v>13.403185473933375</v>
      </c>
      <c r="R210" s="9">
        <v>0.44440000000000002</v>
      </c>
      <c r="S210" s="9">
        <v>0.593491403983332</v>
      </c>
    </row>
    <row r="211" spans="1:19" ht="15.6" x14ac:dyDescent="0.3">
      <c r="A211" s="13" t="s">
        <v>26</v>
      </c>
      <c r="B211" s="2" t="s">
        <v>79</v>
      </c>
      <c r="C211" s="1">
        <v>2017</v>
      </c>
      <c r="D211" s="4" t="s">
        <v>158</v>
      </c>
      <c r="E211" s="5"/>
      <c r="F211" s="5"/>
      <c r="G211" s="5"/>
      <c r="H211" s="5"/>
      <c r="I211">
        <v>1.5</v>
      </c>
      <c r="J211" s="1">
        <v>0.5</v>
      </c>
      <c r="K211" s="1">
        <v>1</v>
      </c>
      <c r="L211" s="9">
        <v>0.25</v>
      </c>
      <c r="M211" s="9">
        <v>-2.13</v>
      </c>
      <c r="N211" s="9">
        <v>-3.89</v>
      </c>
      <c r="O211" s="9">
        <f>LN(319.11)</f>
        <v>5.7655358709316831</v>
      </c>
      <c r="P211" s="9">
        <v>3.9</v>
      </c>
      <c r="Q211" s="9">
        <v>13.403185473933375</v>
      </c>
      <c r="R211" s="9">
        <v>0.23100000000000001</v>
      </c>
      <c r="S211" s="9">
        <v>0.593491403983332</v>
      </c>
    </row>
    <row r="212" spans="1:19" ht="15.6" x14ac:dyDescent="0.3">
      <c r="A212" s="13" t="s">
        <v>26</v>
      </c>
      <c r="B212" s="2" t="s">
        <v>79</v>
      </c>
      <c r="C212" s="1">
        <v>2018</v>
      </c>
      <c r="D212" s="4" t="s">
        <v>158</v>
      </c>
      <c r="E212" s="5"/>
      <c r="F212" s="5"/>
      <c r="G212" s="5"/>
      <c r="H212" s="5"/>
      <c r="I212">
        <v>1.1000000000000001</v>
      </c>
      <c r="J212" s="1">
        <v>0.5</v>
      </c>
      <c r="K212" s="1">
        <v>0.6</v>
      </c>
      <c r="L212" s="9">
        <v>1.19</v>
      </c>
      <c r="M212" s="9">
        <v>8.6999999999999993</v>
      </c>
      <c r="N212" s="9">
        <v>22.09</v>
      </c>
      <c r="O212" s="9">
        <f>LN(358.79)</f>
        <v>5.8827372591162019</v>
      </c>
      <c r="P212" s="9">
        <v>0.9</v>
      </c>
      <c r="Q212" s="9">
        <v>13.439920706874927</v>
      </c>
      <c r="R212" s="9">
        <v>0.44440000000000002</v>
      </c>
      <c r="S212" s="9">
        <v>0.60603973887876261</v>
      </c>
    </row>
    <row r="213" spans="1:19" ht="15.6" x14ac:dyDescent="0.3">
      <c r="A213" s="13" t="s">
        <v>26</v>
      </c>
      <c r="B213" s="2" t="s">
        <v>79</v>
      </c>
      <c r="C213" s="1">
        <v>2019</v>
      </c>
      <c r="D213" s="4" t="s">
        <v>158</v>
      </c>
      <c r="E213" s="5"/>
      <c r="F213" s="5"/>
      <c r="G213" s="5"/>
      <c r="H213" s="5"/>
      <c r="I213">
        <v>1.1000000000000001</v>
      </c>
      <c r="J213" s="1">
        <v>0.5</v>
      </c>
      <c r="K213" s="1">
        <v>0.6</v>
      </c>
      <c r="L213" s="9">
        <v>0.17</v>
      </c>
      <c r="M213" s="9">
        <v>0.17</v>
      </c>
      <c r="N213" s="9">
        <v>0.35</v>
      </c>
      <c r="O213" s="9">
        <f>LN(365.18)</f>
        <v>5.9003903827085873</v>
      </c>
      <c r="P213" s="12">
        <v>0.7</v>
      </c>
      <c r="Q213" s="9">
        <v>13.439920706874927</v>
      </c>
      <c r="R213" s="9">
        <v>0.23100000000000001</v>
      </c>
      <c r="S213" s="9">
        <v>0.60603973887876261</v>
      </c>
    </row>
    <row r="214" spans="1:19" ht="15.6" x14ac:dyDescent="0.3">
      <c r="A214" s="13" t="s">
        <v>26</v>
      </c>
      <c r="B214" s="2" t="s">
        <v>79</v>
      </c>
      <c r="C214" s="1">
        <v>2020</v>
      </c>
      <c r="D214" s="4" t="s">
        <v>158</v>
      </c>
      <c r="E214" s="5"/>
      <c r="F214" s="5"/>
      <c r="G214" s="5"/>
      <c r="H214" s="5"/>
      <c r="I214">
        <v>1.6</v>
      </c>
      <c r="J214" s="1">
        <v>1</v>
      </c>
      <c r="K214" s="1">
        <v>0.6</v>
      </c>
      <c r="L214" s="9">
        <v>1.33</v>
      </c>
      <c r="M214" s="9">
        <v>12.38</v>
      </c>
      <c r="N214" s="9">
        <v>30.47</v>
      </c>
      <c r="O214" s="9">
        <f>LN(337.46)</f>
        <v>5.8214469847701915</v>
      </c>
      <c r="P214" s="12">
        <v>-0.1</v>
      </c>
      <c r="Q214" s="9">
        <v>13.477447055951568</v>
      </c>
      <c r="R214" s="9">
        <v>0.44440000000000002</v>
      </c>
      <c r="S214" s="9">
        <v>0.59380915655892874</v>
      </c>
    </row>
    <row r="215" spans="1:19" ht="15.6" x14ac:dyDescent="0.3">
      <c r="A215" s="13" t="s">
        <v>26</v>
      </c>
      <c r="B215" s="2" t="s">
        <v>79</v>
      </c>
      <c r="C215" s="1">
        <v>2021</v>
      </c>
      <c r="D215" s="4" t="s">
        <v>158</v>
      </c>
      <c r="E215" s="5">
        <v>69.099999999999994</v>
      </c>
      <c r="F215" s="5">
        <v>83.9</v>
      </c>
      <c r="G215" s="5">
        <v>85.5</v>
      </c>
      <c r="H215" s="5">
        <v>31.4</v>
      </c>
      <c r="I215">
        <v>1.8</v>
      </c>
      <c r="J215" s="1">
        <v>1</v>
      </c>
      <c r="K215" s="1">
        <v>0.8</v>
      </c>
      <c r="L215" s="9">
        <v>0.14000000000000001</v>
      </c>
      <c r="M215" s="9">
        <v>0.7</v>
      </c>
      <c r="N215" s="9">
        <v>1.43</v>
      </c>
      <c r="O215" s="9">
        <f>LN(373.78)</f>
        <v>5.9236673890421567</v>
      </c>
      <c r="P215" s="12">
        <v>2.5</v>
      </c>
      <c r="Q215" s="9">
        <v>13.477447055951568</v>
      </c>
      <c r="R215" s="9">
        <v>0.28599999999999998</v>
      </c>
      <c r="S215" s="9">
        <v>0.59380915655892874</v>
      </c>
    </row>
    <row r="216" spans="1:19" ht="15.6" x14ac:dyDescent="0.3">
      <c r="A216" s="13" t="s">
        <v>26</v>
      </c>
      <c r="B216" s="2" t="s">
        <v>79</v>
      </c>
      <c r="C216" s="1">
        <v>2022</v>
      </c>
      <c r="D216" s="4" t="s">
        <v>158</v>
      </c>
      <c r="E216" s="5">
        <v>71.099999999999994</v>
      </c>
      <c r="F216" s="5">
        <v>86</v>
      </c>
      <c r="G216" s="5">
        <v>90.2</v>
      </c>
      <c r="H216" s="5">
        <v>29</v>
      </c>
      <c r="I216">
        <v>2</v>
      </c>
      <c r="J216" s="1">
        <v>1</v>
      </c>
      <c r="K216" s="1">
        <v>1</v>
      </c>
      <c r="L216" s="9">
        <v>1.29</v>
      </c>
      <c r="M216" s="9">
        <v>11.96</v>
      </c>
      <c r="N216" s="9">
        <v>28.03</v>
      </c>
      <c r="O216" s="9">
        <f>LN(407.61)</f>
        <v>6.0103108349043417</v>
      </c>
      <c r="P216" s="12">
        <v>3.4</v>
      </c>
      <c r="Q216" s="9">
        <v>13.456624600106153</v>
      </c>
      <c r="R216" s="9">
        <v>0.44440000000000002</v>
      </c>
      <c r="S216" s="9">
        <v>0.57346511008598988</v>
      </c>
    </row>
    <row r="217" spans="1:19" ht="15.6" x14ac:dyDescent="0.3">
      <c r="A217" s="13" t="s">
        <v>26</v>
      </c>
      <c r="B217" s="2" t="s">
        <v>79</v>
      </c>
      <c r="C217" s="1">
        <v>2023</v>
      </c>
      <c r="D217" s="4" t="s">
        <v>158</v>
      </c>
      <c r="E217" s="5">
        <v>69.099999999999994</v>
      </c>
      <c r="F217" s="5">
        <v>83.9</v>
      </c>
      <c r="G217" s="5">
        <v>85.5</v>
      </c>
      <c r="H217" s="5">
        <v>31.4</v>
      </c>
      <c r="I217">
        <v>2</v>
      </c>
      <c r="J217" s="1">
        <v>1</v>
      </c>
      <c r="K217" s="1">
        <v>1</v>
      </c>
      <c r="L217" s="9">
        <v>0.23</v>
      </c>
      <c r="M217" s="9">
        <v>1.1399999999999999</v>
      </c>
      <c r="N217" s="9">
        <v>2.2000000000000002</v>
      </c>
      <c r="O217" s="9">
        <f>LN(399.71)</f>
        <v>5.9907392841683871</v>
      </c>
      <c r="P217" s="12">
        <v>2.5</v>
      </c>
      <c r="Q217" s="9">
        <v>13.456624600106153</v>
      </c>
      <c r="R217" s="9">
        <v>0.26700000000000002</v>
      </c>
      <c r="S217" s="9">
        <v>0.57346511008598988</v>
      </c>
    </row>
    <row r="218" spans="1:19" ht="15.6" x14ac:dyDescent="0.3">
      <c r="A218" s="13" t="s">
        <v>27</v>
      </c>
      <c r="B218" s="2" t="s">
        <v>80</v>
      </c>
      <c r="C218" s="1">
        <v>2016</v>
      </c>
      <c r="D218" s="4" t="s">
        <v>158</v>
      </c>
      <c r="E218" s="5"/>
      <c r="F218" s="5"/>
      <c r="G218" s="5"/>
      <c r="H218" s="5"/>
      <c r="I218">
        <v>2</v>
      </c>
      <c r="J218" s="1">
        <v>1</v>
      </c>
      <c r="K218" s="1">
        <v>1</v>
      </c>
      <c r="L218" s="9">
        <v>0.33</v>
      </c>
      <c r="M218" s="9">
        <v>2.72</v>
      </c>
      <c r="N218" s="11">
        <v>3.84</v>
      </c>
      <c r="O218" s="9">
        <f>LN(301.26)</f>
        <v>5.7079736792746694</v>
      </c>
      <c r="P218" s="12">
        <v>2.1</v>
      </c>
      <c r="Q218" s="9">
        <v>16.831357909996491</v>
      </c>
      <c r="R218" s="9">
        <v>0.28599999999999998</v>
      </c>
      <c r="S218" s="9">
        <v>0.29318137101763542</v>
      </c>
    </row>
    <row r="219" spans="1:19" ht="15.6" x14ac:dyDescent="0.3">
      <c r="A219" s="13" t="s">
        <v>27</v>
      </c>
      <c r="B219" s="2" t="s">
        <v>80</v>
      </c>
      <c r="C219" s="1">
        <v>2017</v>
      </c>
      <c r="D219" s="4" t="s">
        <v>158</v>
      </c>
      <c r="E219" s="5"/>
      <c r="F219" s="5"/>
      <c r="G219" s="5"/>
      <c r="H219" s="5"/>
      <c r="I219">
        <v>1.8</v>
      </c>
      <c r="J219" s="1">
        <v>1</v>
      </c>
      <c r="K219" s="1">
        <v>0.8</v>
      </c>
      <c r="L219" s="9">
        <v>0.38</v>
      </c>
      <c r="M219" s="9">
        <v>1.82</v>
      </c>
      <c r="N219" s="9">
        <v>2.98</v>
      </c>
      <c r="O219" s="9">
        <f>LN(319.11)</f>
        <v>5.7655358709316831</v>
      </c>
      <c r="P219" s="9">
        <v>3.9</v>
      </c>
      <c r="Q219" s="9">
        <v>16.953000042889251</v>
      </c>
      <c r="R219" s="9">
        <v>0.375</v>
      </c>
      <c r="S219" s="9">
        <v>0.39002974797683426</v>
      </c>
    </row>
    <row r="220" spans="1:19" ht="15.6" x14ac:dyDescent="0.3">
      <c r="A220" s="13" t="s">
        <v>27</v>
      </c>
      <c r="B220" s="2" t="s">
        <v>80</v>
      </c>
      <c r="C220" s="1">
        <v>2018</v>
      </c>
      <c r="D220" s="4" t="s">
        <v>158</v>
      </c>
      <c r="E220" s="5"/>
      <c r="F220" s="5"/>
      <c r="G220" s="5"/>
      <c r="H220" s="5"/>
      <c r="I220">
        <v>2</v>
      </c>
      <c r="J220" s="1">
        <v>1</v>
      </c>
      <c r="K220" s="1">
        <v>1</v>
      </c>
      <c r="L220" s="9">
        <v>0.25</v>
      </c>
      <c r="M220" s="9">
        <v>1.42</v>
      </c>
      <c r="N220" s="9">
        <v>2.38</v>
      </c>
      <c r="O220" s="9">
        <f>LN(358.79)</f>
        <v>5.8827372591162019</v>
      </c>
      <c r="P220" s="9">
        <v>0.9</v>
      </c>
      <c r="Q220" s="9">
        <v>16.960997204592193</v>
      </c>
      <c r="R220" s="9">
        <v>0.5</v>
      </c>
      <c r="S220" s="9">
        <v>0.40308544048382294</v>
      </c>
    </row>
    <row r="221" spans="1:19" ht="15.6" x14ac:dyDescent="0.3">
      <c r="A221" s="13" t="s">
        <v>27</v>
      </c>
      <c r="B221" s="2" t="s">
        <v>80</v>
      </c>
      <c r="C221" s="1">
        <v>2019</v>
      </c>
      <c r="D221" s="4" t="s">
        <v>158</v>
      </c>
      <c r="E221" s="5"/>
      <c r="F221" s="5"/>
      <c r="G221" s="5"/>
      <c r="H221" s="5"/>
      <c r="I221">
        <v>2</v>
      </c>
      <c r="J221" s="1">
        <v>1</v>
      </c>
      <c r="K221" s="1">
        <v>1</v>
      </c>
      <c r="L221" s="9">
        <v>0.23</v>
      </c>
      <c r="M221" s="9">
        <v>1.96</v>
      </c>
      <c r="N221" s="9">
        <v>3.37</v>
      </c>
      <c r="O221" s="9">
        <f>LN(365.18)</f>
        <v>5.9003903827085873</v>
      </c>
      <c r="P221" s="12">
        <v>0.7</v>
      </c>
      <c r="Q221" s="9">
        <v>17.031488106885391</v>
      </c>
      <c r="R221" s="9">
        <v>0.55600000000000005</v>
      </c>
      <c r="S221" s="9">
        <v>0.41897578945273939</v>
      </c>
    </row>
    <row r="222" spans="1:19" ht="15.6" x14ac:dyDescent="0.3">
      <c r="A222" s="13" t="s">
        <v>27</v>
      </c>
      <c r="B222" s="2" t="s">
        <v>80</v>
      </c>
      <c r="C222" s="1">
        <v>2020</v>
      </c>
      <c r="D222" s="4" t="s">
        <v>158</v>
      </c>
      <c r="E222" s="5"/>
      <c r="F222" s="5"/>
      <c r="G222" s="5"/>
      <c r="H222" s="5"/>
      <c r="I222">
        <v>2</v>
      </c>
      <c r="J222" s="1">
        <v>1</v>
      </c>
      <c r="K222" s="1">
        <v>1</v>
      </c>
      <c r="L222" s="9">
        <v>0.17</v>
      </c>
      <c r="M222" s="9">
        <v>-1.03</v>
      </c>
      <c r="N222" s="9">
        <v>-1.88</v>
      </c>
      <c r="O222" s="9">
        <f>LN(337.46)</f>
        <v>5.8214469847701915</v>
      </c>
      <c r="P222" s="12">
        <v>-0.1</v>
      </c>
      <c r="Q222" s="9">
        <v>17.027545195180458</v>
      </c>
      <c r="R222" s="9">
        <v>0.55600000000000005</v>
      </c>
      <c r="S222" s="9">
        <v>0.45277144325669322</v>
      </c>
    </row>
    <row r="223" spans="1:19" ht="15.6" x14ac:dyDescent="0.3">
      <c r="A223" s="13" t="s">
        <v>27</v>
      </c>
      <c r="B223" s="2" t="s">
        <v>80</v>
      </c>
      <c r="C223" s="1">
        <v>2021</v>
      </c>
      <c r="D223" s="4" t="s">
        <v>158</v>
      </c>
      <c r="E223" s="5">
        <v>63.7</v>
      </c>
      <c r="F223" s="5">
        <v>73.599999999999994</v>
      </c>
      <c r="G223" s="5">
        <v>78.7</v>
      </c>
      <c r="H223" s="5">
        <v>32.4</v>
      </c>
      <c r="I223">
        <v>2</v>
      </c>
      <c r="J223" s="1">
        <v>1</v>
      </c>
      <c r="K223" s="1">
        <v>1</v>
      </c>
      <c r="L223" s="9">
        <v>0.18</v>
      </c>
      <c r="M223" s="9">
        <v>-1.34</v>
      </c>
      <c r="N223" s="9">
        <v>-2.58</v>
      </c>
      <c r="O223" s="9">
        <f>LN(373.78)</f>
        <v>5.9236673890421567</v>
      </c>
      <c r="P223" s="12">
        <v>2.5</v>
      </c>
      <c r="Q223" s="9">
        <v>17.015513036421034</v>
      </c>
      <c r="R223" s="9">
        <v>0.55600000000000005</v>
      </c>
      <c r="S223" s="9">
        <v>0.48111677237842509</v>
      </c>
    </row>
    <row r="224" spans="1:19" ht="15.6" x14ac:dyDescent="0.3">
      <c r="A224" s="13" t="s">
        <v>27</v>
      </c>
      <c r="B224" s="2" t="s">
        <v>80</v>
      </c>
      <c r="C224" s="1">
        <v>2022</v>
      </c>
      <c r="D224" s="4" t="s">
        <v>158</v>
      </c>
      <c r="E224" s="5">
        <v>65.8</v>
      </c>
      <c r="F224" s="5">
        <v>75.900000000000006</v>
      </c>
      <c r="G224" s="5">
        <v>80.900000000000006</v>
      </c>
      <c r="H224" s="5">
        <v>34.1</v>
      </c>
      <c r="I224">
        <v>2</v>
      </c>
      <c r="J224" s="1">
        <v>1</v>
      </c>
      <c r="K224" s="1">
        <v>1</v>
      </c>
      <c r="L224" s="9">
        <v>0.17</v>
      </c>
      <c r="M224" s="9">
        <v>-0.28999999999999998</v>
      </c>
      <c r="N224" s="9">
        <v>-0.56999999999999995</v>
      </c>
      <c r="O224" s="9">
        <f>LN(407.61)</f>
        <v>6.0103108349043417</v>
      </c>
      <c r="P224" s="12">
        <v>3.4</v>
      </c>
      <c r="Q224" s="9">
        <v>16.960912314334756</v>
      </c>
      <c r="R224" s="9">
        <v>0.55600000000000005</v>
      </c>
      <c r="S224" s="9">
        <v>0.48404929595351603</v>
      </c>
    </row>
    <row r="225" spans="1:19" ht="15.6" x14ac:dyDescent="0.3">
      <c r="A225" s="13" t="s">
        <v>27</v>
      </c>
      <c r="B225" s="2" t="s">
        <v>80</v>
      </c>
      <c r="C225" s="1">
        <v>2023</v>
      </c>
      <c r="D225" s="4" t="s">
        <v>158</v>
      </c>
      <c r="E225" s="5">
        <v>63.7</v>
      </c>
      <c r="F225" s="5">
        <v>73.599999999999994</v>
      </c>
      <c r="G225" s="5">
        <v>78.7</v>
      </c>
      <c r="H225" s="5">
        <v>32.4</v>
      </c>
      <c r="I225">
        <v>2</v>
      </c>
      <c r="J225" s="1">
        <v>1</v>
      </c>
      <c r="K225" s="1">
        <v>1</v>
      </c>
      <c r="L225" s="9">
        <v>0.17</v>
      </c>
      <c r="M225" s="9">
        <v>0.87</v>
      </c>
      <c r="N225" s="9">
        <v>1.66</v>
      </c>
      <c r="O225" s="9">
        <f>LN(399.71)</f>
        <v>5.9907392841683871</v>
      </c>
      <c r="P225" s="12">
        <v>2.5</v>
      </c>
      <c r="Q225" s="9">
        <v>16.962579054474801</v>
      </c>
      <c r="R225" s="9">
        <v>0.55600000000000005</v>
      </c>
      <c r="S225" s="9">
        <v>0.47459748480246589</v>
      </c>
    </row>
    <row r="226" spans="1:19" ht="15.6" x14ac:dyDescent="0.3">
      <c r="A226" s="13" t="s">
        <v>28</v>
      </c>
      <c r="B226" s="2" t="s">
        <v>81</v>
      </c>
      <c r="C226" s="1">
        <v>2016</v>
      </c>
      <c r="D226" s="4" t="s">
        <v>165</v>
      </c>
      <c r="E226" s="5"/>
      <c r="F226" s="5"/>
      <c r="G226" s="5"/>
      <c r="H226" s="5"/>
      <c r="I226">
        <v>2</v>
      </c>
      <c r="J226" s="1">
        <v>1</v>
      </c>
      <c r="K226" s="1">
        <v>1</v>
      </c>
      <c r="L226" s="9">
        <v>0.98</v>
      </c>
      <c r="M226" s="9">
        <v>10.33</v>
      </c>
      <c r="N226" s="9">
        <v>14.59</v>
      </c>
      <c r="O226" s="9">
        <f>LN(301.26)</f>
        <v>5.7079736792746694</v>
      </c>
      <c r="P226" s="12">
        <v>2.1</v>
      </c>
      <c r="Q226" s="9">
        <v>15.642975112633922</v>
      </c>
      <c r="R226" s="9">
        <v>0.5</v>
      </c>
      <c r="S226" s="9">
        <v>0.2921374226632858</v>
      </c>
    </row>
    <row r="227" spans="1:19" ht="15.6" x14ac:dyDescent="0.3">
      <c r="A227" s="13" t="s">
        <v>28</v>
      </c>
      <c r="B227" s="2" t="s">
        <v>81</v>
      </c>
      <c r="C227" s="1">
        <v>2017</v>
      </c>
      <c r="D227" s="4" t="s">
        <v>165</v>
      </c>
      <c r="E227" s="5"/>
      <c r="F227" s="5"/>
      <c r="G227" s="5"/>
      <c r="H227" s="5"/>
      <c r="I227">
        <v>2</v>
      </c>
      <c r="J227" s="1">
        <v>1</v>
      </c>
      <c r="K227" s="1">
        <v>1</v>
      </c>
      <c r="L227" s="9">
        <v>1.1200000000000001</v>
      </c>
      <c r="M227" s="9">
        <v>3.88</v>
      </c>
      <c r="N227" s="9">
        <v>6.07</v>
      </c>
      <c r="O227" s="9">
        <f>LN(319.11)</f>
        <v>5.7655358709316831</v>
      </c>
      <c r="P227" s="9">
        <v>3.9</v>
      </c>
      <c r="Q227" s="9">
        <v>15.813978594329489</v>
      </c>
      <c r="R227" s="9">
        <v>0.5</v>
      </c>
      <c r="S227" s="9">
        <v>0.36165088384052307</v>
      </c>
    </row>
    <row r="228" spans="1:19" ht="15.6" x14ac:dyDescent="0.3">
      <c r="A228" s="13" t="s">
        <v>28</v>
      </c>
      <c r="B228" s="2" t="s">
        <v>81</v>
      </c>
      <c r="C228" s="1">
        <v>2018</v>
      </c>
      <c r="D228" s="4" t="s">
        <v>165</v>
      </c>
      <c r="E228" s="5"/>
      <c r="F228" s="5"/>
      <c r="G228" s="5"/>
      <c r="H228" s="5"/>
      <c r="I228">
        <v>2</v>
      </c>
      <c r="J228" s="1">
        <v>1</v>
      </c>
      <c r="K228" s="1">
        <v>1</v>
      </c>
      <c r="L228" s="9">
        <v>0.56999999999999995</v>
      </c>
      <c r="M228" s="9">
        <v>-0.06</v>
      </c>
      <c r="N228" s="9">
        <v>-0.11</v>
      </c>
      <c r="O228" s="9">
        <f>LN(358.79)</f>
        <v>5.8827372591162019</v>
      </c>
      <c r="P228" s="9">
        <v>0.9</v>
      </c>
      <c r="Q228" s="9">
        <v>15.85205829895652</v>
      </c>
      <c r="R228" s="9">
        <v>0.5</v>
      </c>
      <c r="S228" s="9">
        <v>0.43396952416492207</v>
      </c>
    </row>
    <row r="229" spans="1:19" ht="15.6" x14ac:dyDescent="0.3">
      <c r="A229" s="13" t="s">
        <v>28</v>
      </c>
      <c r="B229" s="2" t="s">
        <v>81</v>
      </c>
      <c r="C229" s="1">
        <v>2019</v>
      </c>
      <c r="D229" s="4" t="s">
        <v>165</v>
      </c>
      <c r="E229" s="5"/>
      <c r="F229" s="5"/>
      <c r="G229" s="5"/>
      <c r="H229" s="5"/>
      <c r="I229">
        <v>2</v>
      </c>
      <c r="J229" s="1">
        <v>1</v>
      </c>
      <c r="K229" s="1">
        <v>1</v>
      </c>
      <c r="L229" s="9">
        <v>0.59</v>
      </c>
      <c r="M229" s="9">
        <v>4.1900000000000004</v>
      </c>
      <c r="N229" s="9">
        <v>7.68</v>
      </c>
      <c r="O229" s="9">
        <f>LN(365.18)</f>
        <v>5.9003903827085873</v>
      </c>
      <c r="P229" s="12">
        <v>0.7</v>
      </c>
      <c r="Q229" s="9">
        <v>15.912293244093149</v>
      </c>
      <c r="R229" s="9">
        <v>0.5</v>
      </c>
      <c r="S229" s="9">
        <v>0.4545623744846245</v>
      </c>
    </row>
    <row r="230" spans="1:19" ht="15.6" x14ac:dyDescent="0.3">
      <c r="A230" s="13" t="s">
        <v>28</v>
      </c>
      <c r="B230" s="2" t="s">
        <v>81</v>
      </c>
      <c r="C230" s="1">
        <v>2020</v>
      </c>
      <c r="D230" s="4" t="s">
        <v>165</v>
      </c>
      <c r="E230" s="5"/>
      <c r="F230" s="5"/>
      <c r="G230" s="5"/>
      <c r="H230" s="5"/>
      <c r="I230">
        <v>2</v>
      </c>
      <c r="J230" s="1">
        <v>1</v>
      </c>
      <c r="K230" s="1">
        <v>1</v>
      </c>
      <c r="L230" s="9">
        <v>0.56999999999999995</v>
      </c>
      <c r="M230" s="9">
        <v>-8</v>
      </c>
      <c r="N230" s="9">
        <v>-15.61</v>
      </c>
      <c r="O230" s="9">
        <f>LN(337.46)</f>
        <v>5.8214469847701915</v>
      </c>
      <c r="P230" s="12">
        <v>-0.1</v>
      </c>
      <c r="Q230" s="9">
        <v>15.768377310786702</v>
      </c>
      <c r="R230" s="9">
        <v>0.55600000000000005</v>
      </c>
      <c r="S230" s="9">
        <v>0.48737768599942177</v>
      </c>
    </row>
    <row r="231" spans="1:19" ht="15.6" x14ac:dyDescent="0.3">
      <c r="A231" s="13" t="s">
        <v>28</v>
      </c>
      <c r="B231" s="2" t="s">
        <v>81</v>
      </c>
      <c r="C231" s="1">
        <v>2021</v>
      </c>
      <c r="D231" s="4" t="s">
        <v>165</v>
      </c>
      <c r="E231" s="5">
        <v>56.1</v>
      </c>
      <c r="F231" s="5">
        <v>74.599999999999994</v>
      </c>
      <c r="G231" s="5">
        <v>58.8</v>
      </c>
      <c r="H231" s="5">
        <v>31.2</v>
      </c>
      <c r="I231">
        <v>2</v>
      </c>
      <c r="J231" s="1">
        <v>1</v>
      </c>
      <c r="K231" s="1">
        <v>1</v>
      </c>
      <c r="L231" s="9">
        <v>0.56000000000000005</v>
      </c>
      <c r="M231" s="9">
        <v>-3.11</v>
      </c>
      <c r="N231" s="9">
        <v>-7.14</v>
      </c>
      <c r="O231" s="9">
        <f>LN(373.78)</f>
        <v>5.9236673890421567</v>
      </c>
      <c r="P231" s="12">
        <v>2.5</v>
      </c>
      <c r="Q231" s="9">
        <v>15.800938079461854</v>
      </c>
      <c r="R231" s="9">
        <v>0.55600000000000005</v>
      </c>
      <c r="S231" s="9">
        <v>0.56420691113625632</v>
      </c>
    </row>
    <row r="232" spans="1:19" ht="15.6" x14ac:dyDescent="0.3">
      <c r="A232" s="13" t="s">
        <v>28</v>
      </c>
      <c r="B232" s="2" t="s">
        <v>81</v>
      </c>
      <c r="C232" s="1">
        <v>2022</v>
      </c>
      <c r="D232" s="4" t="s">
        <v>165</v>
      </c>
      <c r="E232" s="5">
        <v>56</v>
      </c>
      <c r="F232" s="5">
        <v>68.099999999999994</v>
      </c>
      <c r="G232" s="5">
        <v>60.9</v>
      </c>
      <c r="H232" s="5">
        <v>34.200000000000003</v>
      </c>
      <c r="I232">
        <v>2</v>
      </c>
      <c r="J232" s="1">
        <v>1</v>
      </c>
      <c r="K232" s="1">
        <v>1</v>
      </c>
      <c r="L232" s="9">
        <v>0.56000000000000005</v>
      </c>
      <c r="M232" s="9">
        <v>-1.82</v>
      </c>
      <c r="N232" s="9">
        <v>-4.3600000000000003</v>
      </c>
      <c r="O232" s="9">
        <f>LN(407.61)</f>
        <v>6.0103108349043417</v>
      </c>
      <c r="P232" s="12">
        <v>3.4</v>
      </c>
      <c r="Q232" s="9">
        <v>15.68544591652123</v>
      </c>
      <c r="R232" s="9">
        <v>0.55600000000000005</v>
      </c>
      <c r="S232" s="9">
        <v>0.5833536918162906</v>
      </c>
    </row>
    <row r="233" spans="1:19" ht="15.6" x14ac:dyDescent="0.3">
      <c r="A233" s="13" t="s">
        <v>28</v>
      </c>
      <c r="B233" s="2" t="s">
        <v>81</v>
      </c>
      <c r="C233" s="1">
        <v>2023</v>
      </c>
      <c r="D233" s="4" t="s">
        <v>165</v>
      </c>
      <c r="E233" s="5">
        <v>56.1</v>
      </c>
      <c r="F233" s="5">
        <v>74.599999999999994</v>
      </c>
      <c r="G233" s="5">
        <v>58.8</v>
      </c>
      <c r="H233" s="5">
        <v>31.2</v>
      </c>
      <c r="I233">
        <v>2</v>
      </c>
      <c r="J233" s="1">
        <v>1</v>
      </c>
      <c r="K233" s="1">
        <v>1</v>
      </c>
      <c r="L233" s="9">
        <v>0.55000000000000004</v>
      </c>
      <c r="M233" s="9">
        <v>1.5</v>
      </c>
      <c r="N233" s="9">
        <v>3.64</v>
      </c>
      <c r="O233" s="9">
        <f>LN(399.71)</f>
        <v>5.9907392841683871</v>
      </c>
      <c r="P233" s="12">
        <v>2.5</v>
      </c>
      <c r="Q233" s="9">
        <v>15.662591671870786</v>
      </c>
      <c r="R233" s="9">
        <v>0.55600000000000005</v>
      </c>
      <c r="S233" s="9">
        <v>0.58743979727761719</v>
      </c>
    </row>
    <row r="234" spans="1:19" ht="15.6" x14ac:dyDescent="0.3">
      <c r="A234" s="13" t="s">
        <v>29</v>
      </c>
      <c r="B234" s="2" t="s">
        <v>82</v>
      </c>
      <c r="C234" s="1">
        <v>2016</v>
      </c>
      <c r="D234" s="4" t="s">
        <v>161</v>
      </c>
      <c r="E234" s="5">
        <v>42.9</v>
      </c>
      <c r="F234" s="5">
        <v>19.8</v>
      </c>
      <c r="G234" s="5">
        <v>36.700000000000003</v>
      </c>
      <c r="H234" s="5">
        <v>73.099999999999994</v>
      </c>
      <c r="I234">
        <v>1.1000000000000001</v>
      </c>
      <c r="J234" s="1">
        <v>0.5</v>
      </c>
      <c r="K234" s="1">
        <v>0.6</v>
      </c>
      <c r="L234" s="9">
        <v>1.1499999999999999</v>
      </c>
      <c r="M234" s="9">
        <v>4.5199999999999996</v>
      </c>
      <c r="N234" s="9">
        <v>7.46</v>
      </c>
      <c r="O234" s="9">
        <f>LN(301.26)</f>
        <v>5.7079736792746694</v>
      </c>
      <c r="P234" s="12">
        <v>2.1</v>
      </c>
      <c r="Q234" s="9">
        <v>14.326182169871048</v>
      </c>
      <c r="R234" s="9">
        <v>0.44400000000000001</v>
      </c>
      <c r="S234" s="9">
        <v>0.393178149435013</v>
      </c>
    </row>
    <row r="235" spans="1:19" ht="15.6" x14ac:dyDescent="0.3">
      <c r="A235" s="13" t="s">
        <v>29</v>
      </c>
      <c r="B235" s="2" t="s">
        <v>82</v>
      </c>
      <c r="C235" s="1">
        <v>2017</v>
      </c>
      <c r="D235" s="4" t="s">
        <v>161</v>
      </c>
      <c r="E235" s="5">
        <v>39.200000000000003</v>
      </c>
      <c r="F235" s="5">
        <v>18.2</v>
      </c>
      <c r="G235" s="5">
        <v>43.3</v>
      </c>
      <c r="H235" s="5">
        <v>47.1</v>
      </c>
      <c r="I235">
        <v>1.8</v>
      </c>
      <c r="J235" s="1">
        <v>1</v>
      </c>
      <c r="K235" s="1">
        <v>0.8</v>
      </c>
      <c r="L235" s="9">
        <v>1</v>
      </c>
      <c r="M235" s="9">
        <v>3.96</v>
      </c>
      <c r="N235" s="9">
        <v>7.33</v>
      </c>
      <c r="O235" s="9">
        <f>LN(319.11)</f>
        <v>5.7655358709316831</v>
      </c>
      <c r="P235" s="9">
        <v>3.9</v>
      </c>
      <c r="Q235" s="9">
        <v>14.550757955769624</v>
      </c>
      <c r="R235" s="9">
        <v>0.44400000000000001</v>
      </c>
      <c r="S235" s="9">
        <v>0.46030533106934907</v>
      </c>
    </row>
    <row r="236" spans="1:19" ht="15.6" x14ac:dyDescent="0.3">
      <c r="A236" s="13" t="s">
        <v>29</v>
      </c>
      <c r="B236" s="2" t="s">
        <v>82</v>
      </c>
      <c r="C236" s="1">
        <v>2018</v>
      </c>
      <c r="D236" s="4" t="s">
        <v>161</v>
      </c>
      <c r="E236" s="5">
        <v>33.6</v>
      </c>
      <c r="F236" s="5">
        <v>16.600000000000001</v>
      </c>
      <c r="G236" s="5">
        <v>36.4</v>
      </c>
      <c r="H236" s="5">
        <v>41.2</v>
      </c>
      <c r="I236">
        <v>1.3</v>
      </c>
      <c r="J236" s="1">
        <v>0.5</v>
      </c>
      <c r="K236" s="1">
        <v>0.8</v>
      </c>
      <c r="L236" s="9">
        <v>1.01</v>
      </c>
      <c r="M236" s="9">
        <v>2.11</v>
      </c>
      <c r="N236" s="9">
        <v>3.82</v>
      </c>
      <c r="O236" s="9">
        <f>LN(358.79)</f>
        <v>5.8827372591162019</v>
      </c>
      <c r="P236" s="9">
        <v>0.9</v>
      </c>
      <c r="Q236" s="9">
        <v>14.453690862686106</v>
      </c>
      <c r="R236" s="9">
        <v>0.44400000000000001</v>
      </c>
      <c r="S236" s="9">
        <v>0.44954472531646306</v>
      </c>
    </row>
    <row r="237" spans="1:19" ht="15.6" x14ac:dyDescent="0.3">
      <c r="A237" s="13" t="s">
        <v>29</v>
      </c>
      <c r="B237" s="2" t="s">
        <v>82</v>
      </c>
      <c r="C237" s="1">
        <v>2019</v>
      </c>
      <c r="D237" s="4" t="s">
        <v>161</v>
      </c>
      <c r="E237" s="5">
        <v>34.700000000000003</v>
      </c>
      <c r="F237" s="5">
        <v>19.600000000000001</v>
      </c>
      <c r="G237" s="5">
        <v>33.4</v>
      </c>
      <c r="H237" s="5">
        <v>49.1</v>
      </c>
      <c r="I237">
        <v>1.6</v>
      </c>
      <c r="J237" s="1">
        <v>1</v>
      </c>
      <c r="K237" s="1">
        <v>0.6</v>
      </c>
      <c r="L237" s="9">
        <v>1.1200000000000001</v>
      </c>
      <c r="M237" s="9">
        <v>1.68</v>
      </c>
      <c r="N237" s="9">
        <v>2.81</v>
      </c>
      <c r="O237" s="9">
        <f>LN(365.18)</f>
        <v>5.9003903827085873</v>
      </c>
      <c r="P237" s="12">
        <v>0.7</v>
      </c>
      <c r="Q237" s="9">
        <v>14.54172736090934</v>
      </c>
      <c r="R237" s="9">
        <v>0.44400000000000001</v>
      </c>
      <c r="S237" s="9">
        <v>0.40195332435197567</v>
      </c>
    </row>
    <row r="238" spans="1:19" ht="15.6" x14ac:dyDescent="0.3">
      <c r="A238" s="13" t="s">
        <v>29</v>
      </c>
      <c r="B238" s="2" t="s">
        <v>82</v>
      </c>
      <c r="C238" s="1">
        <v>2020</v>
      </c>
      <c r="D238" s="4" t="s">
        <v>161</v>
      </c>
      <c r="E238" s="5">
        <v>31.8</v>
      </c>
      <c r="F238" s="5">
        <v>19.600000000000001</v>
      </c>
      <c r="G238" s="5">
        <v>22.8</v>
      </c>
      <c r="H238" s="5">
        <v>59.3</v>
      </c>
      <c r="I238">
        <v>2</v>
      </c>
      <c r="J238" s="1">
        <v>1</v>
      </c>
      <c r="K238" s="1">
        <v>1</v>
      </c>
      <c r="L238" s="9">
        <v>1.05</v>
      </c>
      <c r="M238" s="9">
        <v>3.01</v>
      </c>
      <c r="N238" s="9">
        <v>5.05</v>
      </c>
      <c r="O238" s="9">
        <f>LN(337.46)</f>
        <v>5.8214469847701915</v>
      </c>
      <c r="P238" s="12">
        <v>-0.1</v>
      </c>
      <c r="Q238" s="9">
        <v>14.559042820611808</v>
      </c>
      <c r="R238" s="9">
        <v>0.44400000000000001</v>
      </c>
      <c r="S238" s="9">
        <v>0.40317455185817686</v>
      </c>
    </row>
    <row r="239" spans="1:19" ht="15.6" x14ac:dyDescent="0.3">
      <c r="A239" s="13" t="s">
        <v>29</v>
      </c>
      <c r="B239" s="2" t="s">
        <v>82</v>
      </c>
      <c r="C239" s="1">
        <v>2021</v>
      </c>
      <c r="D239" s="4" t="s">
        <v>161</v>
      </c>
      <c r="E239" s="5">
        <v>55.3</v>
      </c>
      <c r="F239" s="5">
        <v>26.9</v>
      </c>
      <c r="G239" s="5">
        <v>68.099999999999994</v>
      </c>
      <c r="H239" s="5">
        <v>72.599999999999994</v>
      </c>
      <c r="I239">
        <v>1.4</v>
      </c>
      <c r="J239" s="1">
        <v>1</v>
      </c>
      <c r="K239" s="1">
        <v>0.4</v>
      </c>
      <c r="L239" s="9">
        <v>0.69</v>
      </c>
      <c r="M239" s="9">
        <v>4.93</v>
      </c>
      <c r="N239" s="9">
        <v>8.16</v>
      </c>
      <c r="O239" s="9">
        <f>LN(373.78)</f>
        <v>5.9236673890421567</v>
      </c>
      <c r="P239" s="12">
        <v>2.5</v>
      </c>
      <c r="Q239" s="9">
        <v>14.556803409338134</v>
      </c>
      <c r="R239" s="9">
        <v>0.44400000000000001</v>
      </c>
      <c r="S239" s="9">
        <v>0.39573591938043889</v>
      </c>
    </row>
    <row r="240" spans="1:19" ht="15.6" x14ac:dyDescent="0.3">
      <c r="A240" s="13" t="s">
        <v>29</v>
      </c>
      <c r="B240" s="2" t="s">
        <v>82</v>
      </c>
      <c r="C240" s="1">
        <v>2022</v>
      </c>
      <c r="D240" s="4" t="s">
        <v>161</v>
      </c>
      <c r="E240" s="5">
        <v>58.7</v>
      </c>
      <c r="F240" s="5">
        <v>28.3</v>
      </c>
      <c r="G240" s="5">
        <v>73.099999999999994</v>
      </c>
      <c r="H240" s="5">
        <v>76.400000000000006</v>
      </c>
      <c r="I240">
        <v>2</v>
      </c>
      <c r="J240" s="1">
        <v>1</v>
      </c>
      <c r="K240" s="1">
        <v>1</v>
      </c>
      <c r="L240" s="9">
        <v>0.65</v>
      </c>
      <c r="M240" s="9">
        <v>5.36</v>
      </c>
      <c r="N240" s="9">
        <v>8.8800000000000008</v>
      </c>
      <c r="O240" s="9">
        <f>LN(407.61)</f>
        <v>6.0103108349043417</v>
      </c>
      <c r="P240" s="12">
        <v>3.4</v>
      </c>
      <c r="Q240" s="9">
        <v>14.504776717093971</v>
      </c>
      <c r="R240" s="9">
        <v>0.44400000000000001</v>
      </c>
      <c r="S240" s="9">
        <v>0.39612338392764374</v>
      </c>
    </row>
    <row r="241" spans="1:19" ht="15.6" x14ac:dyDescent="0.3">
      <c r="A241" s="13" t="s">
        <v>29</v>
      </c>
      <c r="B241" s="2" t="s">
        <v>82</v>
      </c>
      <c r="C241" s="1">
        <v>2023</v>
      </c>
      <c r="D241" s="4" t="s">
        <v>161</v>
      </c>
      <c r="E241" s="5">
        <v>55.3</v>
      </c>
      <c r="F241" s="5">
        <v>26.9</v>
      </c>
      <c r="G241" s="5">
        <v>68.099999999999994</v>
      </c>
      <c r="H241" s="5">
        <v>72.599999999999994</v>
      </c>
      <c r="I241">
        <v>2</v>
      </c>
      <c r="J241" s="1">
        <v>1</v>
      </c>
      <c r="K241" s="1">
        <v>1</v>
      </c>
      <c r="L241" s="9">
        <v>0.6</v>
      </c>
      <c r="M241" s="9">
        <v>2.96</v>
      </c>
      <c r="N241" s="9">
        <v>4.66</v>
      </c>
      <c r="O241" s="9">
        <f>LN(399.71)</f>
        <v>5.9907392841683871</v>
      </c>
      <c r="P241" s="12">
        <v>2.5</v>
      </c>
      <c r="Q241" s="9">
        <v>14.439232094833457</v>
      </c>
      <c r="R241" s="9">
        <v>0.44400000000000001</v>
      </c>
      <c r="S241" s="9">
        <v>0.36561122785805356</v>
      </c>
    </row>
    <row r="242" spans="1:19" ht="15.6" x14ac:dyDescent="0.3">
      <c r="A242" s="13" t="s">
        <v>30</v>
      </c>
      <c r="B242" s="2" t="s">
        <v>83</v>
      </c>
      <c r="C242" s="1">
        <v>2016</v>
      </c>
      <c r="D242" s="4" t="s">
        <v>158</v>
      </c>
      <c r="E242" s="5"/>
      <c r="F242" s="5"/>
      <c r="G242" s="5"/>
      <c r="H242" s="5"/>
      <c r="I242">
        <v>0.2</v>
      </c>
      <c r="J242" s="1">
        <v>0</v>
      </c>
      <c r="K242" s="1">
        <v>0.2</v>
      </c>
      <c r="L242" s="9"/>
      <c r="M242" s="9">
        <v>15.4</v>
      </c>
      <c r="N242" s="9">
        <v>23.77</v>
      </c>
      <c r="O242" s="9">
        <f>LN(301.26)</f>
        <v>5.7079736792746694</v>
      </c>
      <c r="P242" s="12">
        <v>2.1</v>
      </c>
      <c r="Q242" s="9">
        <v>9.0370578398328973</v>
      </c>
      <c r="R242" s="9"/>
      <c r="S242" s="9">
        <v>0.35200380544654536</v>
      </c>
    </row>
    <row r="243" spans="1:19" ht="15.6" x14ac:dyDescent="0.3">
      <c r="A243" s="13" t="s">
        <v>30</v>
      </c>
      <c r="B243" s="2" t="s">
        <v>83</v>
      </c>
      <c r="C243" s="1">
        <v>2017</v>
      </c>
      <c r="D243" s="4" t="s">
        <v>158</v>
      </c>
      <c r="E243" s="5"/>
      <c r="F243" s="5"/>
      <c r="G243" s="5"/>
      <c r="H243" s="5"/>
      <c r="I243">
        <v>1.8</v>
      </c>
      <c r="J243" s="1">
        <v>1</v>
      </c>
      <c r="K243" s="1">
        <v>0.8</v>
      </c>
      <c r="L243" s="9"/>
      <c r="M243" s="9">
        <v>18.09</v>
      </c>
      <c r="N243" s="9">
        <v>47.05</v>
      </c>
      <c r="O243" s="9">
        <f>LN(319.11)</f>
        <v>5.7655358709316831</v>
      </c>
      <c r="P243" s="9">
        <v>3.9</v>
      </c>
      <c r="Q243" s="9">
        <v>10.163348686785501</v>
      </c>
      <c r="R243" s="9"/>
      <c r="S243" s="9">
        <v>0.61557740505108927</v>
      </c>
    </row>
    <row r="244" spans="1:19" ht="15.6" x14ac:dyDescent="0.3">
      <c r="A244" s="13" t="s">
        <v>30</v>
      </c>
      <c r="B244" s="2" t="s">
        <v>83</v>
      </c>
      <c r="C244" s="1">
        <v>2018</v>
      </c>
      <c r="D244" s="4" t="s">
        <v>158</v>
      </c>
      <c r="E244" s="5"/>
      <c r="F244" s="5"/>
      <c r="G244" s="5"/>
      <c r="H244" s="5"/>
      <c r="I244">
        <v>1.1000000000000001</v>
      </c>
      <c r="J244" s="1">
        <v>0.5</v>
      </c>
      <c r="K244" s="1">
        <v>0.6</v>
      </c>
      <c r="L244" s="9"/>
      <c r="M244" s="9">
        <v>20.82</v>
      </c>
      <c r="N244" s="9">
        <v>45.4</v>
      </c>
      <c r="O244" s="9">
        <f>LN(358.79)</f>
        <v>5.8827372591162019</v>
      </c>
      <c r="P244" s="9">
        <v>0.9</v>
      </c>
      <c r="Q244" s="9">
        <v>10.513633486592667</v>
      </c>
      <c r="R244" s="9">
        <v>0.4</v>
      </c>
      <c r="S244" s="9">
        <v>0.54142445808659745</v>
      </c>
    </row>
    <row r="245" spans="1:19" ht="15.6" x14ac:dyDescent="0.3">
      <c r="A245" s="13" t="s">
        <v>30</v>
      </c>
      <c r="B245" s="2" t="s">
        <v>83</v>
      </c>
      <c r="C245" s="1">
        <v>2019</v>
      </c>
      <c r="D245" s="4" t="s">
        <v>158</v>
      </c>
      <c r="E245" s="5"/>
      <c r="F245" s="5"/>
      <c r="G245" s="5"/>
      <c r="H245" s="5"/>
      <c r="I245">
        <v>1.3</v>
      </c>
      <c r="J245" s="1">
        <v>0.5</v>
      </c>
      <c r="K245" s="1">
        <v>0.8</v>
      </c>
      <c r="L245" s="9">
        <v>4.3600000000000003</v>
      </c>
      <c r="M245" s="9">
        <v>15.17</v>
      </c>
      <c r="N245" s="9">
        <v>26.74</v>
      </c>
      <c r="O245" s="9">
        <f>LN(365.18)</f>
        <v>5.9003903827085873</v>
      </c>
      <c r="P245" s="12">
        <v>0.7</v>
      </c>
      <c r="Q245" s="9">
        <v>11.341104582612132</v>
      </c>
      <c r="R245" s="9">
        <v>0.4</v>
      </c>
      <c r="S245" s="9">
        <v>0.43247479605286593</v>
      </c>
    </row>
    <row r="246" spans="1:19" ht="15.6" x14ac:dyDescent="0.3">
      <c r="A246" s="13" t="s">
        <v>30</v>
      </c>
      <c r="B246" s="2" t="s">
        <v>83</v>
      </c>
      <c r="C246" s="1">
        <v>2020</v>
      </c>
      <c r="D246" s="4" t="s">
        <v>158</v>
      </c>
      <c r="E246" s="5"/>
      <c r="F246" s="5"/>
      <c r="G246" s="5"/>
      <c r="H246" s="5"/>
      <c r="I246">
        <v>1.1000000000000001</v>
      </c>
      <c r="J246" s="1">
        <v>0.5</v>
      </c>
      <c r="K246" s="1">
        <v>0.6</v>
      </c>
      <c r="L246" s="9">
        <v>12.53</v>
      </c>
      <c r="M246" s="9">
        <v>19.32</v>
      </c>
      <c r="N246" s="9">
        <v>30.64</v>
      </c>
      <c r="O246" s="9">
        <f>LN(337.46)</f>
        <v>5.8214469847701915</v>
      </c>
      <c r="P246" s="12">
        <v>-0.1</v>
      </c>
      <c r="Q246" s="9">
        <v>11.63794447989123</v>
      </c>
      <c r="R246" s="9">
        <v>0.5</v>
      </c>
      <c r="S246" s="9">
        <v>0.36943265352947924</v>
      </c>
    </row>
    <row r="247" spans="1:19" ht="15.6" x14ac:dyDescent="0.3">
      <c r="A247" s="13" t="s">
        <v>30</v>
      </c>
      <c r="B247" s="2" t="s">
        <v>83</v>
      </c>
      <c r="C247" s="1">
        <v>2021</v>
      </c>
      <c r="D247" s="4" t="s">
        <v>158</v>
      </c>
      <c r="E247" s="5">
        <v>54.3</v>
      </c>
      <c r="F247" s="5">
        <v>53.9</v>
      </c>
      <c r="G247" s="5">
        <v>57.2</v>
      </c>
      <c r="H247" s="5">
        <v>49.7</v>
      </c>
      <c r="I247">
        <v>0.9</v>
      </c>
      <c r="J247" s="1">
        <v>0.5</v>
      </c>
      <c r="K247" s="1">
        <v>0.4</v>
      </c>
      <c r="L247" s="9">
        <v>13.85</v>
      </c>
      <c r="M247" s="9">
        <v>23.29</v>
      </c>
      <c r="N247" s="9">
        <v>32.89</v>
      </c>
      <c r="O247" s="9">
        <f>LN(373.78)</f>
        <v>5.9236673890421567</v>
      </c>
      <c r="P247" s="12">
        <v>2.5</v>
      </c>
      <c r="Q247" s="9">
        <v>11.889565768061633</v>
      </c>
      <c r="R247" s="9">
        <v>0.5</v>
      </c>
      <c r="S247" s="9">
        <v>0.29175643963825493</v>
      </c>
    </row>
    <row r="248" spans="1:19" ht="15.6" x14ac:dyDescent="0.3">
      <c r="A248" s="13" t="s">
        <v>30</v>
      </c>
      <c r="B248" s="2" t="s">
        <v>83</v>
      </c>
      <c r="C248" s="1">
        <v>2022</v>
      </c>
      <c r="D248" s="4" t="s">
        <v>158</v>
      </c>
      <c r="E248" s="5">
        <v>54.7</v>
      </c>
      <c r="F248" s="5">
        <v>60.1</v>
      </c>
      <c r="G248" s="5">
        <v>53.9</v>
      </c>
      <c r="H248" s="5">
        <v>50.3</v>
      </c>
      <c r="I248">
        <v>0.9</v>
      </c>
      <c r="J248" s="1">
        <v>0.5</v>
      </c>
      <c r="K248" s="1">
        <v>0.4</v>
      </c>
      <c r="L248" s="9">
        <v>6.4</v>
      </c>
      <c r="M248" s="9">
        <v>13.93</v>
      </c>
      <c r="N248" s="9">
        <v>22.48</v>
      </c>
      <c r="O248" s="9">
        <f>LN(407.61)</f>
        <v>6.0103108349043417</v>
      </c>
      <c r="P248" s="12">
        <v>3.4</v>
      </c>
      <c r="Q248" s="9">
        <v>12.276340037803674</v>
      </c>
      <c r="R248" s="9">
        <v>0.57099999999999995</v>
      </c>
      <c r="S248" s="9">
        <v>0.38030098947142743</v>
      </c>
    </row>
    <row r="249" spans="1:19" ht="15.6" x14ac:dyDescent="0.3">
      <c r="A249" s="13" t="s">
        <v>30</v>
      </c>
      <c r="B249" s="2" t="s">
        <v>83</v>
      </c>
      <c r="C249" s="1">
        <v>2023</v>
      </c>
      <c r="D249" s="4" t="s">
        <v>158</v>
      </c>
      <c r="E249" s="5">
        <v>54.3</v>
      </c>
      <c r="F249" s="5">
        <v>53.9</v>
      </c>
      <c r="G249" s="5">
        <v>57.2</v>
      </c>
      <c r="H249" s="5">
        <v>49.7</v>
      </c>
      <c r="I249">
        <v>0.9</v>
      </c>
      <c r="J249" s="1">
        <v>0.5</v>
      </c>
      <c r="K249" s="1">
        <v>0.4</v>
      </c>
      <c r="L249" s="9">
        <v>6.03</v>
      </c>
      <c r="M249" s="9">
        <v>15.46</v>
      </c>
      <c r="N249" s="9">
        <v>20.54</v>
      </c>
      <c r="O249" s="9">
        <f>LN(399.71)</f>
        <v>5.9907392841683871</v>
      </c>
      <c r="P249" s="12">
        <v>2.5</v>
      </c>
      <c r="Q249" s="9">
        <v>12.289604643160279</v>
      </c>
      <c r="R249" s="9">
        <v>0.625</v>
      </c>
      <c r="S249" s="9">
        <v>0.24733700051512253</v>
      </c>
    </row>
    <row r="250" spans="1:19" ht="15.6" x14ac:dyDescent="0.3">
      <c r="A250" s="13" t="s">
        <v>31</v>
      </c>
      <c r="B250" s="2" t="s">
        <v>84</v>
      </c>
      <c r="C250" s="1">
        <v>2016</v>
      </c>
      <c r="D250" s="4" t="s">
        <v>166</v>
      </c>
      <c r="E250" s="5"/>
      <c r="F250" s="5"/>
      <c r="G250" s="5"/>
      <c r="H250" s="5"/>
      <c r="I250">
        <v>0.7</v>
      </c>
      <c r="J250" s="1">
        <v>0.5</v>
      </c>
      <c r="K250" s="1">
        <v>0.2</v>
      </c>
      <c r="L250" s="9"/>
      <c r="M250" s="9">
        <v>2.85</v>
      </c>
      <c r="N250" s="9">
        <v>10.039999999999999</v>
      </c>
      <c r="O250" s="9">
        <f>LN(301.26)</f>
        <v>5.7079736792746694</v>
      </c>
      <c r="P250" s="12">
        <v>2.1</v>
      </c>
      <c r="Q250" s="9">
        <v>12.715528331359543</v>
      </c>
      <c r="R250" s="9">
        <v>0.42899999999999999</v>
      </c>
      <c r="S250" s="9">
        <v>0.71590707678812293</v>
      </c>
    </row>
    <row r="251" spans="1:19" ht="15.6" x14ac:dyDescent="0.3">
      <c r="A251" s="13" t="s">
        <v>31</v>
      </c>
      <c r="B251" s="2" t="s">
        <v>84</v>
      </c>
      <c r="C251" s="1">
        <v>2017</v>
      </c>
      <c r="D251" s="4" t="s">
        <v>166</v>
      </c>
      <c r="E251" s="5"/>
      <c r="F251" s="5"/>
      <c r="G251" s="5"/>
      <c r="H251" s="5"/>
      <c r="I251">
        <v>1</v>
      </c>
      <c r="J251" s="1">
        <v>1</v>
      </c>
      <c r="K251" s="1">
        <v>0</v>
      </c>
      <c r="L251" s="9"/>
      <c r="M251" s="9">
        <v>5.76</v>
      </c>
      <c r="N251" s="9">
        <v>18.98</v>
      </c>
      <c r="O251" s="9">
        <f>LN(319.11)</f>
        <v>5.7655358709316831</v>
      </c>
      <c r="P251" s="9">
        <v>3.9</v>
      </c>
      <c r="Q251" s="9">
        <v>12.871368041065317</v>
      </c>
      <c r="R251" s="9">
        <v>0.42899999999999999</v>
      </c>
      <c r="S251" s="9">
        <v>0.69649086277322347</v>
      </c>
    </row>
    <row r="252" spans="1:19" ht="15.6" x14ac:dyDescent="0.3">
      <c r="A252" s="13" t="s">
        <v>31</v>
      </c>
      <c r="B252" s="2" t="s">
        <v>84</v>
      </c>
      <c r="C252" s="1">
        <v>2018</v>
      </c>
      <c r="D252" s="4" t="s">
        <v>166</v>
      </c>
      <c r="E252" s="5"/>
      <c r="F252" s="5"/>
      <c r="G252" s="5"/>
      <c r="H252" s="5"/>
      <c r="I252">
        <v>1.6</v>
      </c>
      <c r="J252" s="1">
        <v>1</v>
      </c>
      <c r="K252" s="1">
        <v>0.6</v>
      </c>
      <c r="L252" s="9"/>
      <c r="M252" s="9">
        <v>10.66</v>
      </c>
      <c r="N252" s="9">
        <v>28.5</v>
      </c>
      <c r="O252" s="9">
        <f>LN(358.79)</f>
        <v>5.8827372591162019</v>
      </c>
      <c r="P252" s="9">
        <v>0.9</v>
      </c>
      <c r="Q252" s="9">
        <v>12.974118556940327</v>
      </c>
      <c r="R252" s="9">
        <v>0.375</v>
      </c>
      <c r="S252" s="9">
        <v>0.62607455173853543</v>
      </c>
    </row>
    <row r="253" spans="1:19" ht="15.6" x14ac:dyDescent="0.3">
      <c r="A253" s="13" t="s">
        <v>31</v>
      </c>
      <c r="B253" s="2" t="s">
        <v>84</v>
      </c>
      <c r="C253" s="1">
        <v>2019</v>
      </c>
      <c r="D253" s="4" t="s">
        <v>166</v>
      </c>
      <c r="E253" s="5"/>
      <c r="F253" s="5"/>
      <c r="G253" s="5"/>
      <c r="H253" s="5"/>
      <c r="I253">
        <v>1.6</v>
      </c>
      <c r="J253" s="1">
        <v>1</v>
      </c>
      <c r="K253" s="1">
        <v>0.6</v>
      </c>
      <c r="L253" s="9">
        <v>1.52</v>
      </c>
      <c r="M253" s="9">
        <v>10.67</v>
      </c>
      <c r="N253" s="9">
        <v>22.95</v>
      </c>
      <c r="O253" s="9">
        <f>LN(365.18)</f>
        <v>5.9003903827085873</v>
      </c>
      <c r="P253" s="12">
        <v>0.7</v>
      </c>
      <c r="Q253" s="9">
        <v>13.120189015191224</v>
      </c>
      <c r="R253" s="9">
        <v>0.375</v>
      </c>
      <c r="S253" s="9">
        <v>0.53490982413802779</v>
      </c>
    </row>
    <row r="254" spans="1:19" ht="15.6" x14ac:dyDescent="0.3">
      <c r="A254" s="13" t="s">
        <v>31</v>
      </c>
      <c r="B254" s="2" t="s">
        <v>84</v>
      </c>
      <c r="C254" s="1">
        <v>2020</v>
      </c>
      <c r="D254" s="4" t="s">
        <v>166</v>
      </c>
      <c r="E254" s="5"/>
      <c r="F254" s="5"/>
      <c r="G254" s="5"/>
      <c r="H254" s="5"/>
      <c r="I254">
        <v>1.6</v>
      </c>
      <c r="J254" s="1">
        <v>1</v>
      </c>
      <c r="K254" s="1">
        <v>0.6</v>
      </c>
      <c r="L254" s="9">
        <v>0.95</v>
      </c>
      <c r="M254" s="9">
        <v>7.64</v>
      </c>
      <c r="N254" s="9">
        <v>18.73</v>
      </c>
      <c r="O254" s="9">
        <f>LN(337.46)</f>
        <v>5.8214469847701915</v>
      </c>
      <c r="P254" s="12">
        <v>-0.1</v>
      </c>
      <c r="Q254" s="9">
        <v>13.495882262314813</v>
      </c>
      <c r="R254" s="9">
        <v>0.375</v>
      </c>
      <c r="S254" s="9">
        <v>0.59215824475956713</v>
      </c>
    </row>
    <row r="255" spans="1:19" ht="15.6" x14ac:dyDescent="0.3">
      <c r="A255" s="13" t="s">
        <v>31</v>
      </c>
      <c r="B255" s="2" t="s">
        <v>84</v>
      </c>
      <c r="C255" s="1">
        <v>2021</v>
      </c>
      <c r="D255" s="4" t="s">
        <v>166</v>
      </c>
      <c r="E255" s="5">
        <v>64.400000000000006</v>
      </c>
      <c r="F255" s="5">
        <v>38.799999999999997</v>
      </c>
      <c r="G255" s="5">
        <v>69.7</v>
      </c>
      <c r="H255" s="5">
        <v>69.3</v>
      </c>
      <c r="I255">
        <v>1.6</v>
      </c>
      <c r="J255" s="1">
        <v>1</v>
      </c>
      <c r="K255" s="1">
        <v>0.6</v>
      </c>
      <c r="L255" s="9">
        <v>0.85</v>
      </c>
      <c r="M255" s="9">
        <v>4.43</v>
      </c>
      <c r="N255" s="9">
        <v>11.54</v>
      </c>
      <c r="O255" s="9">
        <f>LN(373.78)</f>
        <v>5.9236673890421567</v>
      </c>
      <c r="P255" s="12">
        <v>2.5</v>
      </c>
      <c r="Q255" s="9">
        <v>13.637624748680002</v>
      </c>
      <c r="R255" s="9">
        <v>0.375</v>
      </c>
      <c r="S255" s="9">
        <v>0.61597561878911111</v>
      </c>
    </row>
    <row r="256" spans="1:19" ht="15.6" x14ac:dyDescent="0.3">
      <c r="A256" s="13" t="s">
        <v>31</v>
      </c>
      <c r="B256" s="2" t="s">
        <v>84</v>
      </c>
      <c r="C256" s="1">
        <v>2022</v>
      </c>
      <c r="D256" s="4" t="s">
        <v>166</v>
      </c>
      <c r="E256" s="5">
        <v>67.7</v>
      </c>
      <c r="F256" s="5">
        <v>41.7</v>
      </c>
      <c r="G256" s="5">
        <v>71.3</v>
      </c>
      <c r="H256" s="5">
        <v>75</v>
      </c>
      <c r="I256">
        <v>1.6</v>
      </c>
      <c r="J256" s="1">
        <v>1</v>
      </c>
      <c r="K256" s="1">
        <v>0.6</v>
      </c>
      <c r="L256" s="9">
        <v>0.77</v>
      </c>
      <c r="M256" s="9">
        <v>4.03</v>
      </c>
      <c r="N256" s="9">
        <v>9</v>
      </c>
      <c r="O256" s="9">
        <f>LN(407.61)</f>
        <v>6.0103108349043417</v>
      </c>
      <c r="P256" s="12">
        <v>3.4</v>
      </c>
      <c r="Q256" s="9">
        <v>13.628521726368422</v>
      </c>
      <c r="R256" s="9">
        <v>0.375</v>
      </c>
      <c r="S256" s="9">
        <v>0.55235317733494238</v>
      </c>
    </row>
    <row r="257" spans="1:19" ht="15.6" x14ac:dyDescent="0.3">
      <c r="A257" s="13" t="s">
        <v>31</v>
      </c>
      <c r="B257" s="2" t="s">
        <v>84</v>
      </c>
      <c r="C257" s="1">
        <v>2023</v>
      </c>
      <c r="D257" s="4" t="s">
        <v>166</v>
      </c>
      <c r="E257" s="5">
        <v>64.400000000000006</v>
      </c>
      <c r="F257" s="5">
        <v>38.799999999999997</v>
      </c>
      <c r="G257" s="5">
        <v>69.7</v>
      </c>
      <c r="H257" s="5">
        <v>69.3</v>
      </c>
      <c r="I257">
        <v>1.6</v>
      </c>
      <c r="J257" s="1">
        <v>1</v>
      </c>
      <c r="K257" s="1">
        <v>0.6</v>
      </c>
      <c r="L257" s="9">
        <v>0.39</v>
      </c>
      <c r="M257" s="9">
        <v>1.83</v>
      </c>
      <c r="N257" s="9">
        <v>5.76</v>
      </c>
      <c r="O257" s="9">
        <f>LN(399.71)</f>
        <v>5.9907392841683871</v>
      </c>
      <c r="P257" s="12">
        <v>2.5</v>
      </c>
      <c r="Q257" s="9">
        <v>13.996400256805392</v>
      </c>
      <c r="R257" s="9">
        <v>0.375</v>
      </c>
      <c r="S257" s="9">
        <v>0.68142500561219677</v>
      </c>
    </row>
    <row r="258" spans="1:19" ht="15.6" x14ac:dyDescent="0.3">
      <c r="A258" s="13" t="s">
        <v>32</v>
      </c>
      <c r="B258" s="2" t="s">
        <v>85</v>
      </c>
      <c r="C258" s="1">
        <v>2016</v>
      </c>
      <c r="D258" s="4" t="s">
        <v>158</v>
      </c>
      <c r="E258" s="5">
        <v>68.7</v>
      </c>
      <c r="F258" s="5">
        <v>53.9</v>
      </c>
      <c r="G258" s="5">
        <v>67.8</v>
      </c>
      <c r="H258" s="5">
        <v>85.4</v>
      </c>
      <c r="I258">
        <v>0.5</v>
      </c>
      <c r="J258" s="1">
        <v>0.5</v>
      </c>
      <c r="K258" s="1">
        <v>0</v>
      </c>
      <c r="L258" s="9">
        <v>3.56</v>
      </c>
      <c r="M258" s="9">
        <v>12.38</v>
      </c>
      <c r="N258" s="9">
        <v>16.8</v>
      </c>
      <c r="O258" s="9">
        <f>LN(301.26)</f>
        <v>5.7079736792746694</v>
      </c>
      <c r="P258" s="12">
        <v>2.1</v>
      </c>
      <c r="Q258" s="9">
        <v>13.155043516792956</v>
      </c>
      <c r="R258" s="9">
        <v>0.33300000000000002</v>
      </c>
      <c r="S258" s="9">
        <v>0.26324693676080602</v>
      </c>
    </row>
    <row r="259" spans="1:19" ht="15.6" x14ac:dyDescent="0.3">
      <c r="A259" s="13" t="s">
        <v>32</v>
      </c>
      <c r="B259" s="2" t="s">
        <v>85</v>
      </c>
      <c r="C259" s="1">
        <v>2017</v>
      </c>
      <c r="D259" s="4" t="s">
        <v>158</v>
      </c>
      <c r="E259" s="5">
        <v>68.400000000000006</v>
      </c>
      <c r="F259" s="5">
        <v>57.1</v>
      </c>
      <c r="G259" s="5">
        <v>72.8</v>
      </c>
      <c r="H259" s="5">
        <v>73.400000000000006</v>
      </c>
      <c r="I259">
        <v>0.7</v>
      </c>
      <c r="J259" s="1">
        <v>0.5</v>
      </c>
      <c r="K259" s="1">
        <v>0.2</v>
      </c>
      <c r="L259" s="9">
        <v>7.61</v>
      </c>
      <c r="M259" s="9">
        <v>16.68</v>
      </c>
      <c r="N259" s="9">
        <v>21.98</v>
      </c>
      <c r="O259" s="9">
        <f>LN(319.11)</f>
        <v>5.7655358709316831</v>
      </c>
      <c r="P259" s="9">
        <v>3.9</v>
      </c>
      <c r="Q259" s="9">
        <v>13.432061801525988</v>
      </c>
      <c r="R259" s="9">
        <v>0.33300000000000002</v>
      </c>
      <c r="S259" s="9">
        <v>0.24110684116230649</v>
      </c>
    </row>
    <row r="260" spans="1:19" ht="15.6" x14ac:dyDescent="0.3">
      <c r="A260" s="13" t="s">
        <v>32</v>
      </c>
      <c r="B260" s="2" t="s">
        <v>85</v>
      </c>
      <c r="C260" s="1">
        <v>2018</v>
      </c>
      <c r="D260" s="4" t="s">
        <v>158</v>
      </c>
      <c r="E260" s="5">
        <v>64.900000000000006</v>
      </c>
      <c r="F260" s="5">
        <v>52.3</v>
      </c>
      <c r="G260" s="5">
        <v>70.8</v>
      </c>
      <c r="H260" s="5">
        <v>69.099999999999994</v>
      </c>
      <c r="I260">
        <v>1.3</v>
      </c>
      <c r="J260" s="1">
        <v>0.5</v>
      </c>
      <c r="K260" s="1">
        <v>0.8</v>
      </c>
      <c r="L260" s="9">
        <v>5.18</v>
      </c>
      <c r="M260" s="9">
        <v>15.21</v>
      </c>
      <c r="N260" s="9">
        <v>20.149999999999999</v>
      </c>
      <c r="O260" s="9">
        <f>LN(358.79)</f>
        <v>5.8827372591162019</v>
      </c>
      <c r="P260" s="9">
        <v>0.9</v>
      </c>
      <c r="Q260" s="9">
        <v>13.505142425115778</v>
      </c>
      <c r="R260" s="9">
        <v>0.33300000000000002</v>
      </c>
      <c r="S260" s="9">
        <v>0.24493403366444938</v>
      </c>
    </row>
    <row r="261" spans="1:19" ht="15.6" x14ac:dyDescent="0.3">
      <c r="A261" s="13" t="s">
        <v>32</v>
      </c>
      <c r="B261" s="2" t="s">
        <v>85</v>
      </c>
      <c r="C261" s="1">
        <v>2019</v>
      </c>
      <c r="D261" s="4" t="s">
        <v>158</v>
      </c>
      <c r="E261" s="5">
        <v>72.7</v>
      </c>
      <c r="F261" s="5">
        <v>54.8</v>
      </c>
      <c r="G261" s="5">
        <v>81.8</v>
      </c>
      <c r="H261" s="5">
        <v>77.2</v>
      </c>
      <c r="I261">
        <v>1.3</v>
      </c>
      <c r="J261" s="1">
        <v>0.5</v>
      </c>
      <c r="K261" s="1">
        <v>0.8</v>
      </c>
      <c r="L261" s="9">
        <v>7.02</v>
      </c>
      <c r="M261" s="9">
        <v>13.09</v>
      </c>
      <c r="N261" s="9">
        <v>17.05</v>
      </c>
      <c r="O261" s="9">
        <f>LN(365.18)</f>
        <v>5.9003903827085873</v>
      </c>
      <c r="P261" s="12">
        <v>0.7</v>
      </c>
      <c r="Q261" s="9">
        <v>13.554447047149827</v>
      </c>
      <c r="R261" s="9">
        <v>0.44400000000000001</v>
      </c>
      <c r="S261" s="9">
        <v>0.23259485453733419</v>
      </c>
    </row>
    <row r="262" spans="1:19" ht="15.6" x14ac:dyDescent="0.3">
      <c r="A262" s="13" t="s">
        <v>32</v>
      </c>
      <c r="B262" s="2" t="s">
        <v>85</v>
      </c>
      <c r="C262" s="1">
        <v>2020</v>
      </c>
      <c r="D262" s="4" t="s">
        <v>158</v>
      </c>
      <c r="E262" s="5">
        <v>63.1</v>
      </c>
      <c r="F262" s="5">
        <v>52.2</v>
      </c>
      <c r="G262" s="5">
        <v>82.9</v>
      </c>
      <c r="H262" s="5">
        <v>44.3</v>
      </c>
      <c r="I262">
        <v>1.3</v>
      </c>
      <c r="J262" s="1">
        <v>0.5</v>
      </c>
      <c r="K262" s="1">
        <v>0.8</v>
      </c>
      <c r="L262" s="9">
        <v>4.46</v>
      </c>
      <c r="M262" s="9">
        <v>42.03</v>
      </c>
      <c r="N262" s="9">
        <v>57.72</v>
      </c>
      <c r="O262" s="9">
        <f>LN(337.46)</f>
        <v>5.8214469847701915</v>
      </c>
      <c r="P262" s="12">
        <v>-0.1</v>
      </c>
      <c r="Q262" s="9">
        <v>14.316812979644617</v>
      </c>
      <c r="R262" s="9">
        <v>0.44400000000000001</v>
      </c>
      <c r="S262" s="9">
        <v>0.27189966502510798</v>
      </c>
    </row>
    <row r="263" spans="1:19" ht="15.6" x14ac:dyDescent="0.3">
      <c r="A263" s="13" t="s">
        <v>32</v>
      </c>
      <c r="B263" s="2" t="s">
        <v>85</v>
      </c>
      <c r="C263" s="1">
        <v>2021</v>
      </c>
      <c r="D263" s="4" t="s">
        <v>158</v>
      </c>
      <c r="E263" s="5">
        <v>47.5</v>
      </c>
      <c r="F263" s="5">
        <v>26.3</v>
      </c>
      <c r="G263" s="5">
        <v>46.1</v>
      </c>
      <c r="H263" s="5">
        <v>75.400000000000006</v>
      </c>
      <c r="I263">
        <v>1.1000000000000001</v>
      </c>
      <c r="J263" s="1">
        <v>0.5</v>
      </c>
      <c r="K263" s="1">
        <v>0.6</v>
      </c>
      <c r="L263" s="9">
        <v>2.62</v>
      </c>
      <c r="M263" s="9">
        <v>50.96</v>
      </c>
      <c r="N263" s="9">
        <v>62.87</v>
      </c>
      <c r="O263" s="9">
        <f>LN(373.78)</f>
        <v>5.9236673890421567</v>
      </c>
      <c r="P263" s="12">
        <v>2.5</v>
      </c>
      <c r="Q263" s="9">
        <v>14.227518879154122</v>
      </c>
      <c r="R263" s="9">
        <v>0.44400000000000001</v>
      </c>
      <c r="S263" s="9">
        <v>0.1894509841063366</v>
      </c>
    </row>
    <row r="264" spans="1:19" ht="15.6" x14ac:dyDescent="0.3">
      <c r="A264" s="13" t="s">
        <v>32</v>
      </c>
      <c r="B264" s="2" t="s">
        <v>85</v>
      </c>
      <c r="C264" s="1">
        <v>2022</v>
      </c>
      <c r="D264" s="4" t="s">
        <v>158</v>
      </c>
      <c r="E264" s="5">
        <v>48.4</v>
      </c>
      <c r="F264" s="5">
        <v>30</v>
      </c>
      <c r="G264" s="5">
        <v>49.2</v>
      </c>
      <c r="H264" s="5">
        <v>69.099999999999994</v>
      </c>
      <c r="I264">
        <v>0.9</v>
      </c>
      <c r="J264" s="1">
        <v>0.5</v>
      </c>
      <c r="K264" s="1">
        <v>0.4</v>
      </c>
      <c r="L264" s="9">
        <v>1.23</v>
      </c>
      <c r="M264" s="9">
        <v>-4.43</v>
      </c>
      <c r="N264" s="9">
        <v>-5.05</v>
      </c>
      <c r="O264" s="9">
        <f>LN(407.61)</f>
        <v>6.0103108349043417</v>
      </c>
      <c r="P264" s="12">
        <v>3.4</v>
      </c>
      <c r="Q264" s="9">
        <v>14.000496894410373</v>
      </c>
      <c r="R264" s="9">
        <v>0.5</v>
      </c>
      <c r="S264" s="9">
        <v>0.12187812187812187</v>
      </c>
    </row>
    <row r="265" spans="1:19" ht="15.6" x14ac:dyDescent="0.3">
      <c r="A265" s="13" t="s">
        <v>32</v>
      </c>
      <c r="B265" s="2" t="s">
        <v>85</v>
      </c>
      <c r="C265" s="1">
        <v>2023</v>
      </c>
      <c r="D265" s="4" t="s">
        <v>158</v>
      </c>
      <c r="E265" s="5">
        <v>47.5</v>
      </c>
      <c r="F265" s="5">
        <v>26.3</v>
      </c>
      <c r="G265" s="5">
        <v>46.1</v>
      </c>
      <c r="H265" s="5">
        <v>75.400000000000006</v>
      </c>
      <c r="I265">
        <v>1.1000000000000001</v>
      </c>
      <c r="J265" s="1">
        <v>0.5</v>
      </c>
      <c r="K265" s="1">
        <v>0.6</v>
      </c>
      <c r="L265" s="9">
        <v>1.79</v>
      </c>
      <c r="M265" s="9">
        <v>0.24</v>
      </c>
      <c r="N265" s="9">
        <v>0.27</v>
      </c>
      <c r="O265" s="9">
        <f>LN(399.71)</f>
        <v>5.9907392841683871</v>
      </c>
      <c r="P265" s="12">
        <v>2.5</v>
      </c>
      <c r="Q265" s="9">
        <v>13.921579922329483</v>
      </c>
      <c r="R265" s="9">
        <v>0.5</v>
      </c>
      <c r="S265" s="9">
        <v>0.116664373292898</v>
      </c>
    </row>
    <row r="266" spans="1:19" ht="15.6" x14ac:dyDescent="0.3">
      <c r="A266" s="13" t="s">
        <v>33</v>
      </c>
      <c r="B266" s="2" t="s">
        <v>86</v>
      </c>
      <c r="C266" s="1">
        <v>2016</v>
      </c>
      <c r="D266" s="4" t="s">
        <v>160</v>
      </c>
      <c r="E266" s="5"/>
      <c r="F266" s="5"/>
      <c r="G266" s="5"/>
      <c r="H266" s="5"/>
      <c r="I266">
        <v>0.9</v>
      </c>
      <c r="J266" s="1">
        <v>0.5</v>
      </c>
      <c r="K266" s="1">
        <v>0.4</v>
      </c>
      <c r="L266" s="9">
        <v>5.88</v>
      </c>
      <c r="M266" s="9">
        <v>33.840000000000003</v>
      </c>
      <c r="N266" s="9">
        <v>108.84</v>
      </c>
      <c r="O266" s="9">
        <f>LN(301.26)</f>
        <v>5.7079736792746694</v>
      </c>
      <c r="P266" s="12">
        <v>2.1</v>
      </c>
      <c r="Q266" s="9">
        <v>12.142163259778759</v>
      </c>
      <c r="R266" s="9">
        <v>0.42899999999999999</v>
      </c>
      <c r="S266" s="9">
        <v>0.53358952765726098</v>
      </c>
    </row>
    <row r="267" spans="1:19" ht="15.6" x14ac:dyDescent="0.3">
      <c r="A267" s="13" t="s">
        <v>33</v>
      </c>
      <c r="B267" s="2" t="s">
        <v>86</v>
      </c>
      <c r="C267" s="1">
        <v>2017</v>
      </c>
      <c r="D267" s="4" t="s">
        <v>160</v>
      </c>
      <c r="E267" s="5"/>
      <c r="F267" s="5"/>
      <c r="G267" s="5"/>
      <c r="H267" s="5"/>
      <c r="I267">
        <v>1.1000000000000001</v>
      </c>
      <c r="J267" s="1">
        <v>0.5</v>
      </c>
      <c r="K267" s="1">
        <v>0.6</v>
      </c>
      <c r="L267" s="9">
        <v>6.58</v>
      </c>
      <c r="M267" s="9">
        <v>31.12</v>
      </c>
      <c r="N267" s="9">
        <v>74.91</v>
      </c>
      <c r="O267" s="9">
        <f>LN(319.11)</f>
        <v>5.7655358709316831</v>
      </c>
      <c r="P267" s="9">
        <v>3.9</v>
      </c>
      <c r="Q267" s="9">
        <v>12.272019549430979</v>
      </c>
      <c r="R267" s="9">
        <v>0.42899999999999999</v>
      </c>
      <c r="S267" s="9">
        <v>0.58455582912832227</v>
      </c>
    </row>
    <row r="268" spans="1:19" ht="15.6" x14ac:dyDescent="0.3">
      <c r="A268" s="13" t="s">
        <v>33</v>
      </c>
      <c r="B268" s="2" t="s">
        <v>86</v>
      </c>
      <c r="C268" s="1">
        <v>2018</v>
      </c>
      <c r="D268" s="4" t="s">
        <v>160</v>
      </c>
      <c r="E268" s="5"/>
      <c r="F268" s="5"/>
      <c r="G268" s="5"/>
      <c r="H268" s="5"/>
      <c r="I268">
        <v>1.6</v>
      </c>
      <c r="J268" s="1">
        <v>1</v>
      </c>
      <c r="K268" s="1">
        <v>0.6</v>
      </c>
      <c r="L268" s="9">
        <v>6.57</v>
      </c>
      <c r="M268" s="9">
        <v>30.05</v>
      </c>
      <c r="N268" s="9">
        <v>76.12</v>
      </c>
      <c r="O268" s="9">
        <f>LN(358.79)</f>
        <v>5.8827372591162019</v>
      </c>
      <c r="P268" s="9">
        <v>0.9</v>
      </c>
      <c r="Q268" s="9">
        <v>12.333643182502087</v>
      </c>
      <c r="R268" s="9">
        <v>0.42899999999999999</v>
      </c>
      <c r="S268" s="9">
        <v>0.6052998728065736</v>
      </c>
    </row>
    <row r="269" spans="1:19" ht="15.6" x14ac:dyDescent="0.3">
      <c r="A269" s="13" t="s">
        <v>33</v>
      </c>
      <c r="B269" s="2" t="s">
        <v>86</v>
      </c>
      <c r="C269" s="1">
        <v>2019</v>
      </c>
      <c r="D269" s="4" t="s">
        <v>160</v>
      </c>
      <c r="E269" s="5"/>
      <c r="F269" s="5"/>
      <c r="G269" s="5"/>
      <c r="H269" s="5"/>
      <c r="I269">
        <v>1.6</v>
      </c>
      <c r="J269" s="1">
        <v>1</v>
      </c>
      <c r="K269" s="1">
        <v>0.6</v>
      </c>
      <c r="L269" s="9">
        <v>7.45</v>
      </c>
      <c r="M269" s="9">
        <v>28.45</v>
      </c>
      <c r="N269" s="9">
        <v>79.41</v>
      </c>
      <c r="O269" s="9">
        <f>LN(365.18)</f>
        <v>5.9003903827085873</v>
      </c>
      <c r="P269" s="12">
        <v>0.7</v>
      </c>
      <c r="Q269" s="9">
        <v>12.501659641583524</v>
      </c>
      <c r="R269" s="9">
        <v>0.42899999999999999</v>
      </c>
      <c r="S269" s="9">
        <v>0.64172213272416778</v>
      </c>
    </row>
    <row r="270" spans="1:19" ht="15.6" x14ac:dyDescent="0.3">
      <c r="A270" s="13" t="s">
        <v>33</v>
      </c>
      <c r="B270" s="2" t="s">
        <v>86</v>
      </c>
      <c r="C270" s="1">
        <v>2020</v>
      </c>
      <c r="D270" s="4" t="s">
        <v>160</v>
      </c>
      <c r="E270" s="5"/>
      <c r="F270" s="5"/>
      <c r="G270" s="5"/>
      <c r="H270" s="5"/>
      <c r="I270">
        <v>1.6</v>
      </c>
      <c r="J270" s="1">
        <v>1</v>
      </c>
      <c r="K270" s="1">
        <v>0.6</v>
      </c>
      <c r="L270" s="9">
        <v>6.64</v>
      </c>
      <c r="M270" s="9">
        <v>14.73</v>
      </c>
      <c r="N270" s="9">
        <v>44.13</v>
      </c>
      <c r="O270" s="9">
        <f>LN(337.46)</f>
        <v>5.8214469847701915</v>
      </c>
      <c r="P270" s="12">
        <v>-0.1</v>
      </c>
      <c r="Q270" s="9">
        <v>12.471620299171802</v>
      </c>
      <c r="R270" s="9">
        <v>0.42899999999999999</v>
      </c>
      <c r="S270" s="9">
        <v>0.66621042905505135</v>
      </c>
    </row>
    <row r="271" spans="1:19" ht="15.6" x14ac:dyDescent="0.3">
      <c r="A271" s="13" t="s">
        <v>33</v>
      </c>
      <c r="B271" s="2" t="s">
        <v>86</v>
      </c>
      <c r="C271" s="1">
        <v>2021</v>
      </c>
      <c r="D271" s="4" t="s">
        <v>160</v>
      </c>
      <c r="E271" s="5">
        <v>30.3</v>
      </c>
      <c r="F271" s="5">
        <v>26.5</v>
      </c>
      <c r="G271" s="5">
        <v>33.9</v>
      </c>
      <c r="H271" s="5">
        <v>31.1</v>
      </c>
      <c r="I271">
        <v>1.3</v>
      </c>
      <c r="J271" s="1">
        <v>0.5</v>
      </c>
      <c r="K271" s="1">
        <v>0.8</v>
      </c>
      <c r="L271" s="9">
        <v>5.79</v>
      </c>
      <c r="M271" s="9">
        <v>22.58</v>
      </c>
      <c r="N271" s="9">
        <v>62.09</v>
      </c>
      <c r="O271" s="9">
        <f>LN(373.78)</f>
        <v>5.9236673890421567</v>
      </c>
      <c r="P271" s="12">
        <v>2.5</v>
      </c>
      <c r="Q271" s="9">
        <v>12.470657519541344</v>
      </c>
      <c r="R271" s="9">
        <v>0.42899999999999999</v>
      </c>
      <c r="S271" s="9">
        <v>0.63638526659963623</v>
      </c>
    </row>
    <row r="272" spans="1:19" ht="15.6" x14ac:dyDescent="0.3">
      <c r="A272" s="13" t="s">
        <v>33</v>
      </c>
      <c r="B272" s="2" t="s">
        <v>86</v>
      </c>
      <c r="C272" s="1">
        <v>2022</v>
      </c>
      <c r="D272" s="4" t="s">
        <v>160</v>
      </c>
      <c r="E272" s="5">
        <v>53.2</v>
      </c>
      <c r="F272" s="5">
        <v>40</v>
      </c>
      <c r="G272" s="5">
        <v>60</v>
      </c>
      <c r="H272" s="5">
        <v>65</v>
      </c>
      <c r="I272">
        <v>1.6</v>
      </c>
      <c r="J272" s="1">
        <v>1</v>
      </c>
      <c r="K272" s="1">
        <v>0.6</v>
      </c>
      <c r="L272" s="9">
        <v>5.41</v>
      </c>
      <c r="M272" s="9">
        <v>29.32</v>
      </c>
      <c r="N272" s="9">
        <v>84.52</v>
      </c>
      <c r="O272" s="9">
        <f>LN(407.61)</f>
        <v>6.0103108349043417</v>
      </c>
      <c r="P272" s="12">
        <v>3.4</v>
      </c>
      <c r="Q272" s="9">
        <v>12.673281748722689</v>
      </c>
      <c r="R272" s="9">
        <v>0.5</v>
      </c>
      <c r="S272" s="9">
        <v>0.65314142278295373</v>
      </c>
    </row>
    <row r="273" spans="1:19" ht="15.6" x14ac:dyDescent="0.3">
      <c r="A273" s="13" t="s">
        <v>33</v>
      </c>
      <c r="B273" s="2" t="s">
        <v>86</v>
      </c>
      <c r="C273" s="1">
        <v>2023</v>
      </c>
      <c r="D273" s="4" t="s">
        <v>160</v>
      </c>
      <c r="E273" s="5">
        <v>30.3</v>
      </c>
      <c r="F273" s="5">
        <v>26.5</v>
      </c>
      <c r="G273" s="5">
        <v>33.9</v>
      </c>
      <c r="H273" s="5">
        <v>31.1</v>
      </c>
      <c r="I273">
        <v>1.8</v>
      </c>
      <c r="J273" s="1">
        <v>1</v>
      </c>
      <c r="K273" s="1">
        <v>0.8</v>
      </c>
      <c r="L273" s="9">
        <v>5.85</v>
      </c>
      <c r="M273" s="9">
        <v>31.01</v>
      </c>
      <c r="N273" s="9">
        <v>84.33</v>
      </c>
      <c r="O273" s="9">
        <f>LN(399.71)</f>
        <v>5.9907392841683871</v>
      </c>
      <c r="P273" s="12">
        <v>2.5</v>
      </c>
      <c r="Q273" s="9">
        <v>12.512387543679907</v>
      </c>
      <c r="R273" s="9">
        <v>0.5</v>
      </c>
      <c r="S273" s="9">
        <v>0.63230541589063682</v>
      </c>
    </row>
    <row r="274" spans="1:19" ht="15.6" x14ac:dyDescent="0.3">
      <c r="A274" s="13" t="s">
        <v>34</v>
      </c>
      <c r="B274" s="2" t="s">
        <v>87</v>
      </c>
      <c r="C274" s="1">
        <v>2016</v>
      </c>
      <c r="D274" s="4" t="s">
        <v>155</v>
      </c>
      <c r="E274" s="5">
        <v>64.599999999999994</v>
      </c>
      <c r="F274" s="5">
        <v>38.4</v>
      </c>
      <c r="G274" s="5">
        <v>71.099999999999994</v>
      </c>
      <c r="H274" s="5">
        <v>71.8</v>
      </c>
      <c r="I274">
        <v>1.1000000000000001</v>
      </c>
      <c r="J274" s="1">
        <v>0.5</v>
      </c>
      <c r="K274" s="1">
        <v>0.6</v>
      </c>
      <c r="L274" s="9">
        <v>0.22</v>
      </c>
      <c r="M274" s="9">
        <v>-17.91</v>
      </c>
      <c r="N274" s="9">
        <v>-26.13</v>
      </c>
      <c r="O274" s="9">
        <f>LN(301.26)</f>
        <v>5.7079736792746694</v>
      </c>
      <c r="P274" s="12">
        <v>2.1</v>
      </c>
      <c r="Q274" s="9">
        <v>10.211376582296397</v>
      </c>
      <c r="R274" s="9">
        <v>0.4</v>
      </c>
      <c r="S274" s="9">
        <v>0.31479916210356107</v>
      </c>
    </row>
    <row r="275" spans="1:19" ht="15.6" x14ac:dyDescent="0.3">
      <c r="A275" s="13" t="s">
        <v>34</v>
      </c>
      <c r="B275" s="2" t="s">
        <v>87</v>
      </c>
      <c r="C275" s="1">
        <v>2017</v>
      </c>
      <c r="D275" s="4" t="s">
        <v>155</v>
      </c>
      <c r="E275" s="5">
        <v>60.2</v>
      </c>
      <c r="F275" s="5">
        <v>36.9</v>
      </c>
      <c r="G275" s="5">
        <v>62.4</v>
      </c>
      <c r="H275" s="5">
        <v>73.5</v>
      </c>
      <c r="I275">
        <v>1.1000000000000001</v>
      </c>
      <c r="J275" s="1">
        <v>0.5</v>
      </c>
      <c r="K275" s="1">
        <v>0.6</v>
      </c>
      <c r="L275" s="9">
        <v>0.78</v>
      </c>
      <c r="M275" s="9">
        <v>-9.48</v>
      </c>
      <c r="N275" s="9">
        <v>-16.190000000000001</v>
      </c>
      <c r="O275" s="9">
        <f>LN(319.11)</f>
        <v>5.7655358709316831</v>
      </c>
      <c r="P275" s="9">
        <v>3.9</v>
      </c>
      <c r="Q275" s="9">
        <v>10.337961149679</v>
      </c>
      <c r="R275" s="9">
        <v>0.5</v>
      </c>
      <c r="S275" s="9">
        <v>0.41430560502541852</v>
      </c>
    </row>
    <row r="276" spans="1:19" ht="15.6" x14ac:dyDescent="0.3">
      <c r="A276" s="13" t="s">
        <v>34</v>
      </c>
      <c r="B276" s="2" t="s">
        <v>87</v>
      </c>
      <c r="C276" s="1">
        <v>2018</v>
      </c>
      <c r="D276" s="4" t="s">
        <v>155</v>
      </c>
      <c r="E276" s="5">
        <v>61.4</v>
      </c>
      <c r="F276" s="5">
        <v>33.1</v>
      </c>
      <c r="G276" s="5">
        <v>64.3</v>
      </c>
      <c r="H276" s="5">
        <v>77.2</v>
      </c>
      <c r="I276">
        <v>0.9</v>
      </c>
      <c r="J276" s="1">
        <v>0.5</v>
      </c>
      <c r="K276" s="1">
        <v>0.4</v>
      </c>
      <c r="L276" s="9">
        <v>0.31</v>
      </c>
      <c r="M276" s="9">
        <v>12.43</v>
      </c>
      <c r="N276" s="9">
        <v>22.12</v>
      </c>
      <c r="O276" s="9">
        <f>LN(358.79)</f>
        <v>5.8827372591162019</v>
      </c>
      <c r="P276" s="9">
        <v>0.9</v>
      </c>
      <c r="Q276" s="9">
        <v>11.036436853608688</v>
      </c>
      <c r="R276" s="9">
        <v>0.42899999999999999</v>
      </c>
      <c r="S276" s="9">
        <v>0.43824078845658337</v>
      </c>
    </row>
    <row r="277" spans="1:19" ht="15.6" x14ac:dyDescent="0.3">
      <c r="A277" s="13" t="s">
        <v>34</v>
      </c>
      <c r="B277" s="2" t="s">
        <v>87</v>
      </c>
      <c r="C277" s="1">
        <v>2019</v>
      </c>
      <c r="D277" s="4" t="s">
        <v>155</v>
      </c>
      <c r="E277" s="5">
        <v>62.8</v>
      </c>
      <c r="F277" s="5">
        <v>44.2</v>
      </c>
      <c r="G277" s="5">
        <v>60.8</v>
      </c>
      <c r="H277" s="5">
        <v>81.2</v>
      </c>
      <c r="I277">
        <v>1.5</v>
      </c>
      <c r="J277" s="1">
        <v>0.5</v>
      </c>
      <c r="K277" s="1">
        <v>1</v>
      </c>
      <c r="L277" s="9">
        <v>1.47</v>
      </c>
      <c r="M277" s="9">
        <v>0.68</v>
      </c>
      <c r="N277" s="9">
        <v>1.31</v>
      </c>
      <c r="O277" s="9">
        <f>LN(365.18)</f>
        <v>5.9003903827085873</v>
      </c>
      <c r="P277" s="12">
        <v>0.7</v>
      </c>
      <c r="Q277" s="9">
        <v>11.377231736181022</v>
      </c>
      <c r="R277" s="9">
        <v>0.42899999999999999</v>
      </c>
      <c r="S277" s="9">
        <v>0.48131392378967142</v>
      </c>
    </row>
    <row r="278" spans="1:19" ht="15.6" x14ac:dyDescent="0.3">
      <c r="A278" s="13" t="s">
        <v>34</v>
      </c>
      <c r="B278" s="2" t="s">
        <v>87</v>
      </c>
      <c r="C278" s="1">
        <v>2020</v>
      </c>
      <c r="D278" s="4" t="s">
        <v>155</v>
      </c>
      <c r="E278" s="5">
        <v>66.8</v>
      </c>
      <c r="F278" s="5">
        <v>48.3</v>
      </c>
      <c r="G278" s="5">
        <v>65.5</v>
      </c>
      <c r="H278" s="5">
        <v>83.6</v>
      </c>
      <c r="I278">
        <v>1.3</v>
      </c>
      <c r="J278" s="1">
        <v>0.5</v>
      </c>
      <c r="K278" s="1">
        <v>0.8</v>
      </c>
      <c r="L278" s="9">
        <v>2.41</v>
      </c>
      <c r="M278" s="9">
        <v>14.5</v>
      </c>
      <c r="N278" s="9">
        <v>22.13</v>
      </c>
      <c r="O278" s="9">
        <f>LN(337.46)</f>
        <v>5.8214469847701915</v>
      </c>
      <c r="P278" s="12">
        <v>-0.1</v>
      </c>
      <c r="Q278" s="9">
        <v>11.245242079025136</v>
      </c>
      <c r="R278" s="9">
        <v>0.42899999999999999</v>
      </c>
      <c r="S278" s="9">
        <v>0.3445206822191727</v>
      </c>
    </row>
    <row r="279" spans="1:19" ht="15.6" x14ac:dyDescent="0.3">
      <c r="A279" s="13" t="s">
        <v>34</v>
      </c>
      <c r="B279" s="2" t="s">
        <v>87</v>
      </c>
      <c r="C279" s="1">
        <v>2021</v>
      </c>
      <c r="D279" s="4" t="s">
        <v>155</v>
      </c>
      <c r="E279" s="5">
        <v>77.900000000000006</v>
      </c>
      <c r="F279" s="5">
        <v>70.7</v>
      </c>
      <c r="G279" s="5">
        <v>75.599999999999994</v>
      </c>
      <c r="H279" s="5">
        <v>90.9</v>
      </c>
      <c r="I279">
        <v>1.5</v>
      </c>
      <c r="J279" s="1">
        <v>0.5</v>
      </c>
      <c r="K279" s="1">
        <v>1</v>
      </c>
      <c r="L279" s="9">
        <v>3.18</v>
      </c>
      <c r="M279" s="9">
        <v>6.04</v>
      </c>
      <c r="N279" s="9">
        <v>17.2</v>
      </c>
      <c r="O279" s="9">
        <f>LN(373.78)</f>
        <v>5.9236673890421567</v>
      </c>
      <c r="P279" s="12">
        <v>2.5</v>
      </c>
      <c r="Q279" s="9">
        <v>11.959730833275788</v>
      </c>
      <c r="R279" s="9">
        <v>0.375</v>
      </c>
      <c r="S279" s="9">
        <v>0.64864934018204967</v>
      </c>
    </row>
    <row r="280" spans="1:19" ht="15.6" x14ac:dyDescent="0.3">
      <c r="A280" s="13" t="s">
        <v>34</v>
      </c>
      <c r="B280" s="2" t="s">
        <v>87</v>
      </c>
      <c r="C280" s="1">
        <v>2022</v>
      </c>
      <c r="D280" s="4" t="s">
        <v>155</v>
      </c>
      <c r="E280" s="5">
        <v>84</v>
      </c>
      <c r="F280" s="5">
        <v>87.3</v>
      </c>
      <c r="G280" s="5">
        <v>81.900000000000006</v>
      </c>
      <c r="H280" s="5">
        <v>89.4</v>
      </c>
      <c r="I280">
        <v>1.3</v>
      </c>
      <c r="J280" s="1">
        <v>0.5</v>
      </c>
      <c r="K280" s="1">
        <v>0.8</v>
      </c>
      <c r="L280" s="9">
        <v>4.8099999999999996</v>
      </c>
      <c r="M280" s="9">
        <v>7.96</v>
      </c>
      <c r="N280" s="9">
        <v>21.27</v>
      </c>
      <c r="O280" s="9">
        <f>LN(407.61)</f>
        <v>6.0103108349043417</v>
      </c>
      <c r="P280" s="12">
        <v>3.4</v>
      </c>
      <c r="Q280" s="9">
        <v>11.856649912055151</v>
      </c>
      <c r="R280" s="9">
        <v>0.375</v>
      </c>
      <c r="S280" s="9">
        <v>0.62578801438104081</v>
      </c>
    </row>
    <row r="281" spans="1:19" ht="15.6" x14ac:dyDescent="0.3">
      <c r="A281" s="13" t="s">
        <v>34</v>
      </c>
      <c r="B281" s="2" t="s">
        <v>87</v>
      </c>
      <c r="C281" s="1">
        <v>2023</v>
      </c>
      <c r="D281" s="4" t="s">
        <v>155</v>
      </c>
      <c r="E281" s="5">
        <v>77.900000000000006</v>
      </c>
      <c r="F281" s="5">
        <v>70.7</v>
      </c>
      <c r="G281" s="5">
        <v>75.599999999999994</v>
      </c>
      <c r="H281" s="5">
        <v>90.9</v>
      </c>
      <c r="I281">
        <v>1.6</v>
      </c>
      <c r="J281" s="1">
        <v>1</v>
      </c>
      <c r="K281" s="1">
        <v>0.6</v>
      </c>
      <c r="L281" s="9">
        <v>3.48</v>
      </c>
      <c r="M281" s="9">
        <v>6</v>
      </c>
      <c r="N281" s="9">
        <v>20.329999999999998</v>
      </c>
      <c r="O281" s="9">
        <f>LN(399.71)</f>
        <v>5.9907392841683871</v>
      </c>
      <c r="P281" s="12">
        <v>2.5</v>
      </c>
      <c r="Q281" s="9">
        <v>12.161937878165595</v>
      </c>
      <c r="R281" s="9">
        <v>0.44400000000000001</v>
      </c>
      <c r="S281" s="9">
        <v>0.70496694797899306</v>
      </c>
    </row>
    <row r="282" spans="1:19" ht="15.6" x14ac:dyDescent="0.3">
      <c r="A282" s="13" t="s">
        <v>35</v>
      </c>
      <c r="B282" s="2" t="s">
        <v>88</v>
      </c>
      <c r="C282" s="1">
        <v>2016</v>
      </c>
      <c r="D282" s="4" t="s">
        <v>155</v>
      </c>
      <c r="E282" s="5"/>
      <c r="F282" s="5"/>
      <c r="G282" s="5"/>
      <c r="H282" s="5"/>
      <c r="I282">
        <v>1.6</v>
      </c>
      <c r="J282" s="1">
        <v>1</v>
      </c>
      <c r="K282" s="1">
        <v>0.6</v>
      </c>
      <c r="L282" s="9">
        <v>0.15</v>
      </c>
      <c r="M282" s="9">
        <v>1</v>
      </c>
      <c r="N282" s="9">
        <v>9.01</v>
      </c>
      <c r="O282" s="9">
        <f>LN(301.26)</f>
        <v>5.7079736792746694</v>
      </c>
      <c r="P282" s="12">
        <v>2.1</v>
      </c>
      <c r="Q282" s="9">
        <v>17.669726489806454</v>
      </c>
      <c r="R282" s="9">
        <v>0.4</v>
      </c>
      <c r="S282" s="9">
        <v>0.88875653953761813</v>
      </c>
    </row>
    <row r="283" spans="1:19" ht="15.6" x14ac:dyDescent="0.3">
      <c r="A283" s="13" t="s">
        <v>35</v>
      </c>
      <c r="B283" s="2" t="s">
        <v>88</v>
      </c>
      <c r="C283" s="1">
        <v>2017</v>
      </c>
      <c r="D283" s="4" t="s">
        <v>155</v>
      </c>
      <c r="E283" s="5"/>
      <c r="F283" s="5"/>
      <c r="G283" s="5"/>
      <c r="H283" s="5"/>
      <c r="I283">
        <v>1.6</v>
      </c>
      <c r="J283" s="1">
        <v>1</v>
      </c>
      <c r="K283" s="1">
        <v>0.6</v>
      </c>
      <c r="L283" s="9">
        <v>0.17</v>
      </c>
      <c r="M283" s="9">
        <v>1.1000000000000001</v>
      </c>
      <c r="N283" s="9">
        <v>9.4600000000000009</v>
      </c>
      <c r="O283" s="9">
        <f>LN(319.11)</f>
        <v>5.7655358709316831</v>
      </c>
      <c r="P283" s="9">
        <v>3.9</v>
      </c>
      <c r="Q283" s="9">
        <v>17.634120876209785</v>
      </c>
      <c r="R283" s="9">
        <v>0.4</v>
      </c>
      <c r="S283" s="9">
        <v>0.88399323096039628</v>
      </c>
    </row>
    <row r="284" spans="1:19" ht="15.6" x14ac:dyDescent="0.3">
      <c r="A284" s="13" t="s">
        <v>35</v>
      </c>
      <c r="B284" s="2" t="s">
        <v>88</v>
      </c>
      <c r="C284" s="1">
        <v>2018</v>
      </c>
      <c r="D284" s="4" t="s">
        <v>155</v>
      </c>
      <c r="E284" s="5"/>
      <c r="F284" s="5"/>
      <c r="G284" s="5"/>
      <c r="H284" s="5"/>
      <c r="I284">
        <v>1.4</v>
      </c>
      <c r="J284" s="1">
        <v>1</v>
      </c>
      <c r="K284" s="1">
        <v>0.4</v>
      </c>
      <c r="L284" s="9">
        <v>0.19</v>
      </c>
      <c r="M284" s="9">
        <v>1.3</v>
      </c>
      <c r="N284" s="9">
        <v>11.04</v>
      </c>
      <c r="O284" s="9">
        <f>LN(358.79)</f>
        <v>5.8827372591162019</v>
      </c>
      <c r="P284" s="9">
        <v>0.9</v>
      </c>
      <c r="Q284" s="9">
        <v>17.732305001952909</v>
      </c>
      <c r="R284" s="9">
        <v>0.4</v>
      </c>
      <c r="S284" s="9">
        <v>0.88224078349108748</v>
      </c>
    </row>
    <row r="285" spans="1:19" ht="15.6" x14ac:dyDescent="0.3">
      <c r="A285" s="13" t="s">
        <v>35</v>
      </c>
      <c r="B285" s="2" t="s">
        <v>88</v>
      </c>
      <c r="C285" s="1">
        <v>2019</v>
      </c>
      <c r="D285" s="4" t="s">
        <v>155</v>
      </c>
      <c r="E285" s="5"/>
      <c r="F285" s="5"/>
      <c r="G285" s="5"/>
      <c r="H285" s="5"/>
      <c r="I285">
        <v>1.6</v>
      </c>
      <c r="J285" s="1">
        <v>1</v>
      </c>
      <c r="K285" s="1">
        <v>0.6</v>
      </c>
      <c r="L285" s="9">
        <v>0.2</v>
      </c>
      <c r="M285" s="9">
        <v>1.29</v>
      </c>
      <c r="N285" s="9">
        <v>10.46</v>
      </c>
      <c r="O285" s="9">
        <f>LN(365.18)</f>
        <v>5.9003903827085873</v>
      </c>
      <c r="P285" s="12">
        <v>0.7</v>
      </c>
      <c r="Q285" s="9">
        <v>17.728833578007123</v>
      </c>
      <c r="R285" s="9">
        <v>0.5</v>
      </c>
      <c r="S285" s="9">
        <v>0.8771545647129475</v>
      </c>
    </row>
    <row r="286" spans="1:19" ht="15.6" x14ac:dyDescent="0.3">
      <c r="A286" s="13" t="s">
        <v>35</v>
      </c>
      <c r="B286" s="2" t="s">
        <v>88</v>
      </c>
      <c r="C286" s="1">
        <v>2020</v>
      </c>
      <c r="D286" s="4" t="s">
        <v>155</v>
      </c>
      <c r="E286" s="5"/>
      <c r="F286" s="5"/>
      <c r="G286" s="5"/>
      <c r="H286" s="5"/>
      <c r="I286">
        <v>1.4</v>
      </c>
      <c r="J286" s="1">
        <v>1</v>
      </c>
      <c r="K286" s="1">
        <v>0.4</v>
      </c>
      <c r="L286" s="9">
        <v>0.14000000000000001</v>
      </c>
      <c r="M286" s="9">
        <v>1.1299999999999999</v>
      </c>
      <c r="N286" s="9">
        <v>9.16</v>
      </c>
      <c r="O286" s="9">
        <f>LN(337.46)</f>
        <v>5.8214469847701915</v>
      </c>
      <c r="P286" s="12">
        <v>-0.1</v>
      </c>
      <c r="Q286" s="9">
        <v>17.760976985476098</v>
      </c>
      <c r="R286" s="9">
        <v>0.5</v>
      </c>
      <c r="S286" s="9">
        <v>0.87692266954674492</v>
      </c>
    </row>
    <row r="287" spans="1:19" ht="15.6" x14ac:dyDescent="0.3">
      <c r="A287" s="13" t="s">
        <v>35</v>
      </c>
      <c r="B287" s="2" t="s">
        <v>88</v>
      </c>
      <c r="C287" s="1">
        <v>2021</v>
      </c>
      <c r="D287" s="4" t="s">
        <v>155</v>
      </c>
      <c r="E287" s="5">
        <v>45.4</v>
      </c>
      <c r="F287" s="5">
        <v>68.3</v>
      </c>
      <c r="G287" s="5">
        <v>25</v>
      </c>
      <c r="H287" s="5">
        <v>71.2</v>
      </c>
      <c r="I287">
        <v>1.6</v>
      </c>
      <c r="J287" s="1">
        <v>1</v>
      </c>
      <c r="K287" s="1">
        <v>0.6</v>
      </c>
      <c r="L287" s="9">
        <v>0.17</v>
      </c>
      <c r="M287" s="9">
        <v>1.21</v>
      </c>
      <c r="N287" s="9">
        <v>9.7100000000000009</v>
      </c>
      <c r="O287" s="9">
        <f>LN(373.78)</f>
        <v>5.9236673890421567</v>
      </c>
      <c r="P287" s="12">
        <v>2.5</v>
      </c>
      <c r="Q287" s="9">
        <v>17.859983954445223</v>
      </c>
      <c r="R287" s="9">
        <v>0.5</v>
      </c>
      <c r="S287" s="9">
        <v>0.87576769474333538</v>
      </c>
    </row>
    <row r="288" spans="1:19" ht="15.6" x14ac:dyDescent="0.3">
      <c r="A288" s="13" t="s">
        <v>35</v>
      </c>
      <c r="B288" s="2" t="s">
        <v>88</v>
      </c>
      <c r="C288" s="1">
        <v>2022</v>
      </c>
      <c r="D288" s="4" t="s">
        <v>155</v>
      </c>
      <c r="E288" s="5">
        <v>45.4</v>
      </c>
      <c r="F288" s="5">
        <v>58.7</v>
      </c>
      <c r="G288" s="5">
        <v>28</v>
      </c>
      <c r="H288" s="5">
        <v>74.2</v>
      </c>
      <c r="I288">
        <v>1.8</v>
      </c>
      <c r="J288" s="1">
        <v>1</v>
      </c>
      <c r="K288" s="1">
        <v>0.8</v>
      </c>
      <c r="L288" s="9">
        <v>0.17</v>
      </c>
      <c r="M288" s="9">
        <v>1.29</v>
      </c>
      <c r="N288" s="9">
        <v>10.61</v>
      </c>
      <c r="O288" s="9">
        <f>LN(407.61)</f>
        <v>6.0103108349043417</v>
      </c>
      <c r="P288" s="12">
        <v>3.4</v>
      </c>
      <c r="Q288" s="9">
        <v>17.871294819579379</v>
      </c>
      <c r="R288" s="9">
        <v>0.54545454545454541</v>
      </c>
      <c r="S288" s="9">
        <v>0.8781551237951305</v>
      </c>
    </row>
    <row r="289" spans="1:19" ht="15.6" x14ac:dyDescent="0.3">
      <c r="A289" s="13" t="s">
        <v>35</v>
      </c>
      <c r="B289" s="2" t="s">
        <v>88</v>
      </c>
      <c r="C289" s="1">
        <v>2023</v>
      </c>
      <c r="D289" s="4" t="s">
        <v>155</v>
      </c>
      <c r="E289" s="5">
        <v>45.4</v>
      </c>
      <c r="F289" s="5">
        <v>68.3</v>
      </c>
      <c r="G289" s="5">
        <v>25</v>
      </c>
      <c r="H289" s="5">
        <v>71.2</v>
      </c>
      <c r="I289">
        <v>1.8</v>
      </c>
      <c r="J289" s="1">
        <v>1</v>
      </c>
      <c r="K289" s="1">
        <v>0.8</v>
      </c>
      <c r="L289" s="9">
        <v>0.15</v>
      </c>
      <c r="M289" s="9">
        <v>1.36</v>
      </c>
      <c r="N289" s="9">
        <v>11.23</v>
      </c>
      <c r="O289" s="9">
        <f>LN(399.71)</f>
        <v>5.9907392841683871</v>
      </c>
      <c r="P289" s="12">
        <v>2.5</v>
      </c>
      <c r="Q289" s="9">
        <v>17.906681556422431</v>
      </c>
      <c r="R289" s="9">
        <v>0.54545454545454541</v>
      </c>
      <c r="S289" s="9">
        <v>0.87855422835769226</v>
      </c>
    </row>
    <row r="290" spans="1:19" ht="15.6" x14ac:dyDescent="0.3">
      <c r="A290" s="13" t="s">
        <v>36</v>
      </c>
      <c r="B290" s="2" t="s">
        <v>89</v>
      </c>
      <c r="C290" s="1">
        <v>2016</v>
      </c>
      <c r="D290" s="4" t="s">
        <v>157</v>
      </c>
      <c r="E290" s="5">
        <v>68.8</v>
      </c>
      <c r="F290" s="5">
        <v>32.4</v>
      </c>
      <c r="G290" s="5">
        <v>86.5</v>
      </c>
      <c r="H290" s="5">
        <v>57.5</v>
      </c>
      <c r="I290">
        <v>0.5</v>
      </c>
      <c r="J290" s="1">
        <v>0.5</v>
      </c>
      <c r="K290" s="1">
        <v>0</v>
      </c>
      <c r="L290" s="9">
        <v>0.08</v>
      </c>
      <c r="M290" s="9">
        <v>0.98</v>
      </c>
      <c r="N290" s="9">
        <v>8.9</v>
      </c>
      <c r="O290" s="9">
        <f>LN(301.26)</f>
        <v>5.7079736792746694</v>
      </c>
      <c r="P290" s="12">
        <v>2.1</v>
      </c>
      <c r="Q290" s="9">
        <v>17.772971620284629</v>
      </c>
      <c r="R290" s="9">
        <v>0.375</v>
      </c>
      <c r="S290" s="9">
        <v>0.88988143159234079</v>
      </c>
    </row>
    <row r="291" spans="1:19" ht="15.6" x14ac:dyDescent="0.3">
      <c r="A291" s="1" t="s">
        <v>36</v>
      </c>
      <c r="B291" s="2" t="s">
        <v>89</v>
      </c>
      <c r="C291" s="1">
        <v>2017</v>
      </c>
      <c r="D291" s="4" t="s">
        <v>157</v>
      </c>
      <c r="E291" s="5">
        <v>25.8</v>
      </c>
      <c r="F291" s="5"/>
      <c r="G291" s="5">
        <v>30.5</v>
      </c>
      <c r="H291" s="5">
        <v>29.4</v>
      </c>
      <c r="I291">
        <v>1.5</v>
      </c>
      <c r="J291" s="1">
        <v>0.5</v>
      </c>
      <c r="K291" s="1">
        <v>1</v>
      </c>
      <c r="L291" s="9">
        <v>0.09</v>
      </c>
      <c r="M291" s="9">
        <v>1.06</v>
      </c>
      <c r="N291" s="9">
        <v>9.26</v>
      </c>
      <c r="O291" s="9">
        <f>LN(319.11)</f>
        <v>5.7655358709316831</v>
      </c>
      <c r="P291" s="9">
        <v>3.9</v>
      </c>
      <c r="Q291" s="9">
        <v>17.747191905770229</v>
      </c>
      <c r="R291" s="9">
        <v>0.375</v>
      </c>
      <c r="S291" s="9">
        <v>0.88567666291932867</v>
      </c>
    </row>
    <row r="292" spans="1:19" ht="15.6" x14ac:dyDescent="0.3">
      <c r="A292" s="1" t="s">
        <v>36</v>
      </c>
      <c r="B292" s="2" t="s">
        <v>89</v>
      </c>
      <c r="C292" s="1">
        <v>2018</v>
      </c>
      <c r="D292" s="4" t="s">
        <v>157</v>
      </c>
      <c r="E292" s="5">
        <v>25.8</v>
      </c>
      <c r="F292" s="5"/>
      <c r="G292" s="5">
        <v>34.200000000000003</v>
      </c>
      <c r="H292" s="5">
        <v>26.4</v>
      </c>
      <c r="I292">
        <v>1.1000000000000001</v>
      </c>
      <c r="J292" s="1">
        <v>0.5</v>
      </c>
      <c r="K292" s="1">
        <v>0.6</v>
      </c>
      <c r="L292" s="9">
        <v>0.09</v>
      </c>
      <c r="M292" s="9">
        <v>1.26</v>
      </c>
      <c r="N292" s="9">
        <v>10.85</v>
      </c>
      <c r="O292" s="9">
        <f>LN(358.79)</f>
        <v>5.8827372591162019</v>
      </c>
      <c r="P292" s="9">
        <v>0.9</v>
      </c>
      <c r="Q292" s="9">
        <v>17.854744971923424</v>
      </c>
      <c r="R292" s="9">
        <v>0.375</v>
      </c>
      <c r="S292" s="9">
        <v>0.88365598883071284</v>
      </c>
    </row>
    <row r="293" spans="1:19" ht="15.6" x14ac:dyDescent="0.3">
      <c r="A293" s="1" t="s">
        <v>36</v>
      </c>
      <c r="B293" s="2" t="s">
        <v>89</v>
      </c>
      <c r="C293" s="1">
        <v>2019</v>
      </c>
      <c r="D293" s="4" t="s">
        <v>157</v>
      </c>
      <c r="E293" s="5">
        <v>17.5</v>
      </c>
      <c r="F293" s="5"/>
      <c r="G293" s="5">
        <v>31.4</v>
      </c>
      <c r="H293" s="5">
        <v>10.7</v>
      </c>
      <c r="I293">
        <v>1.5</v>
      </c>
      <c r="J293" s="1">
        <v>0.5</v>
      </c>
      <c r="K293" s="1">
        <v>1</v>
      </c>
      <c r="L293" s="9">
        <v>0.09</v>
      </c>
      <c r="M293" s="9">
        <v>1.23</v>
      </c>
      <c r="N293" s="9">
        <v>10.19</v>
      </c>
      <c r="O293" s="9">
        <f>LN(365.18)</f>
        <v>5.9003903827085873</v>
      </c>
      <c r="P293" s="12">
        <v>0.7</v>
      </c>
      <c r="Q293" s="9">
        <v>17.866109080504248</v>
      </c>
      <c r="R293" s="9">
        <v>0.44444444444444442</v>
      </c>
      <c r="S293" s="9">
        <v>0.87976827341065855</v>
      </c>
    </row>
    <row r="294" spans="1:19" ht="15.6" x14ac:dyDescent="0.3">
      <c r="A294" s="1" t="s">
        <v>36</v>
      </c>
      <c r="B294" s="2" t="s">
        <v>89</v>
      </c>
      <c r="C294" s="1">
        <v>2020</v>
      </c>
      <c r="D294" s="4" t="s">
        <v>157</v>
      </c>
      <c r="E294" s="5">
        <v>38.700000000000003</v>
      </c>
      <c r="F294" s="5">
        <v>17.2</v>
      </c>
      <c r="G294" s="5">
        <v>70.3</v>
      </c>
      <c r="H294" s="5">
        <v>17.899999999999999</v>
      </c>
      <c r="I294">
        <v>1.5</v>
      </c>
      <c r="J294" s="1">
        <v>0.5</v>
      </c>
      <c r="K294" s="1">
        <v>1</v>
      </c>
      <c r="L294" s="9">
        <v>0.06</v>
      </c>
      <c r="M294" s="9">
        <v>1.1000000000000001</v>
      </c>
      <c r="N294" s="9">
        <v>8.9499999999999993</v>
      </c>
      <c r="O294" s="9">
        <f>LN(337.46)</f>
        <v>5.8214469847701915</v>
      </c>
      <c r="P294" s="12">
        <v>-0.1</v>
      </c>
      <c r="Q294" s="9">
        <v>17.897328319750802</v>
      </c>
      <c r="R294" s="9">
        <v>0.55555555555555558</v>
      </c>
      <c r="S294" s="9">
        <v>0.8775537912965875</v>
      </c>
    </row>
    <row r="295" spans="1:19" ht="15.6" x14ac:dyDescent="0.3">
      <c r="A295" s="1" t="s">
        <v>36</v>
      </c>
      <c r="B295" s="2" t="s">
        <v>89</v>
      </c>
      <c r="C295" s="1">
        <v>2021</v>
      </c>
      <c r="D295" s="4" t="s">
        <v>157</v>
      </c>
      <c r="E295" s="5">
        <v>25</v>
      </c>
      <c r="F295" s="5">
        <v>13.9</v>
      </c>
      <c r="G295" s="5">
        <v>42</v>
      </c>
      <c r="H295" s="5">
        <v>21.8</v>
      </c>
      <c r="I295">
        <v>1.5</v>
      </c>
      <c r="J295" s="1">
        <v>0.5</v>
      </c>
      <c r="K295" s="1">
        <v>1</v>
      </c>
      <c r="L295" s="9">
        <v>0.08</v>
      </c>
      <c r="M295" s="9">
        <v>1.24</v>
      </c>
      <c r="N295" s="9">
        <v>9.9499999999999993</v>
      </c>
      <c r="O295" s="9">
        <f>LN(373.78)</f>
        <v>5.9236673890421567</v>
      </c>
      <c r="P295" s="12">
        <v>2.5</v>
      </c>
      <c r="Q295" s="9">
        <v>18.001875439784737</v>
      </c>
      <c r="R295" s="9">
        <v>0.55555555555555558</v>
      </c>
      <c r="S295" s="9">
        <v>0.87582902972864241</v>
      </c>
    </row>
    <row r="296" spans="1:19" ht="15.6" x14ac:dyDescent="0.3">
      <c r="A296" s="1" t="s">
        <v>36</v>
      </c>
      <c r="B296" s="2" t="s">
        <v>89</v>
      </c>
      <c r="C296" s="1">
        <v>2022</v>
      </c>
      <c r="D296" s="4" t="s">
        <v>157</v>
      </c>
      <c r="E296" s="5">
        <v>22.3</v>
      </c>
      <c r="F296" s="5">
        <v>11.2</v>
      </c>
      <c r="G296" s="5">
        <v>33.6</v>
      </c>
      <c r="H296" s="5">
        <v>24.6</v>
      </c>
      <c r="I296">
        <v>1.5</v>
      </c>
      <c r="J296" s="1">
        <v>0.5</v>
      </c>
      <c r="K296" s="1">
        <v>1</v>
      </c>
      <c r="L296" s="9">
        <v>7.0000000000000007E-2</v>
      </c>
      <c r="M296" s="9">
        <v>1.28</v>
      </c>
      <c r="N296" s="9">
        <v>10.23</v>
      </c>
      <c r="O296" s="9">
        <f>LN(407.61)</f>
        <v>6.0103108349043417</v>
      </c>
      <c r="P296" s="12">
        <v>3.4</v>
      </c>
      <c r="Q296" s="9">
        <v>17.991863049392627</v>
      </c>
      <c r="R296" s="9">
        <v>0.6</v>
      </c>
      <c r="S296" s="9">
        <v>0.87456565634387062</v>
      </c>
    </row>
    <row r="297" spans="1:19" ht="15.6" x14ac:dyDescent="0.3">
      <c r="A297" s="1" t="s">
        <v>36</v>
      </c>
      <c r="B297" s="2" t="s">
        <v>89</v>
      </c>
      <c r="C297" s="1">
        <v>2023</v>
      </c>
      <c r="D297" s="4" t="s">
        <v>157</v>
      </c>
      <c r="E297" s="5">
        <v>25</v>
      </c>
      <c r="F297" s="5">
        <v>13.9</v>
      </c>
      <c r="G297" s="5">
        <v>42</v>
      </c>
      <c r="H297" s="5">
        <v>21.8</v>
      </c>
      <c r="I297">
        <v>1.5</v>
      </c>
      <c r="J297" s="1">
        <v>0.5</v>
      </c>
      <c r="K297" s="1">
        <v>1</v>
      </c>
      <c r="L297" s="9">
        <v>0.06</v>
      </c>
      <c r="M297" s="9">
        <v>1.38</v>
      </c>
      <c r="N297" s="9">
        <v>10.78</v>
      </c>
      <c r="O297" s="9">
        <f>LN(399.71)</f>
        <v>5.9907392841683871</v>
      </c>
      <c r="P297" s="12">
        <v>2.5</v>
      </c>
      <c r="Q297" s="9">
        <v>18.024638030333787</v>
      </c>
      <c r="R297" s="9">
        <v>0.6</v>
      </c>
      <c r="S297" s="9">
        <v>0.87231663385107938</v>
      </c>
    </row>
    <row r="298" spans="1:19" ht="15.6" x14ac:dyDescent="0.3">
      <c r="A298" s="13" t="s">
        <v>37</v>
      </c>
      <c r="B298" s="2" t="s">
        <v>90</v>
      </c>
      <c r="C298" s="1">
        <v>2016</v>
      </c>
      <c r="D298" s="4" t="s">
        <v>166</v>
      </c>
      <c r="E298" s="5"/>
      <c r="F298" s="5"/>
      <c r="G298" s="5"/>
      <c r="H298" s="5"/>
      <c r="I298">
        <v>1.1000000000000001</v>
      </c>
      <c r="J298" s="1">
        <v>0.5</v>
      </c>
      <c r="K298" s="1">
        <v>0.6</v>
      </c>
      <c r="L298" s="9">
        <v>1.08</v>
      </c>
      <c r="M298" s="9">
        <v>5.35</v>
      </c>
      <c r="N298" s="9">
        <v>7.57</v>
      </c>
      <c r="O298" s="9">
        <f>LN(301.26)</f>
        <v>5.7079736792746694</v>
      </c>
      <c r="P298" s="12">
        <v>2.1</v>
      </c>
      <c r="Q298" s="9">
        <v>13.96210303209565</v>
      </c>
      <c r="R298" s="9">
        <v>0.375</v>
      </c>
      <c r="S298" s="9">
        <v>0.29306872375596132</v>
      </c>
    </row>
    <row r="299" spans="1:19" ht="15.6" x14ac:dyDescent="0.3">
      <c r="A299" s="13" t="s">
        <v>37</v>
      </c>
      <c r="B299" s="2" t="s">
        <v>90</v>
      </c>
      <c r="C299" s="1">
        <v>2017</v>
      </c>
      <c r="D299" s="4" t="s">
        <v>166</v>
      </c>
      <c r="E299" s="5"/>
      <c r="F299" s="5"/>
      <c r="G299" s="5"/>
      <c r="H299" s="5"/>
      <c r="I299">
        <v>0.7</v>
      </c>
      <c r="J299" s="1">
        <v>0.5</v>
      </c>
      <c r="K299" s="1">
        <v>0.2</v>
      </c>
      <c r="L299" s="9">
        <v>1.2</v>
      </c>
      <c r="M299" s="9">
        <v>6.54</v>
      </c>
      <c r="N299" s="9">
        <v>9.2200000000000006</v>
      </c>
      <c r="O299" s="9">
        <f>LN(319.11)</f>
        <v>5.7655358709316831</v>
      </c>
      <c r="P299" s="9">
        <v>3.9</v>
      </c>
      <c r="Q299" s="9">
        <v>14.072201838366336</v>
      </c>
      <c r="R299" s="9">
        <v>0.375</v>
      </c>
      <c r="S299" s="9">
        <v>0.2908986683129024</v>
      </c>
    </row>
    <row r="300" spans="1:19" ht="15.6" x14ac:dyDescent="0.3">
      <c r="A300" s="13" t="s">
        <v>37</v>
      </c>
      <c r="B300" s="2" t="s">
        <v>90</v>
      </c>
      <c r="C300" s="1">
        <v>2018</v>
      </c>
      <c r="D300" s="4" t="s">
        <v>166</v>
      </c>
      <c r="E300" s="5"/>
      <c r="F300" s="5"/>
      <c r="G300" s="5"/>
      <c r="H300" s="5"/>
      <c r="I300">
        <v>0.7</v>
      </c>
      <c r="J300" s="1">
        <v>0.5</v>
      </c>
      <c r="K300" s="1">
        <v>0.2</v>
      </c>
      <c r="L300" s="9">
        <v>1.18</v>
      </c>
      <c r="M300" s="9">
        <v>6.42</v>
      </c>
      <c r="N300" s="9">
        <v>8.86</v>
      </c>
      <c r="O300" s="9">
        <f>LN(358.79)</f>
        <v>5.8827372591162019</v>
      </c>
      <c r="P300" s="9">
        <v>0.9</v>
      </c>
      <c r="Q300" s="9">
        <v>14.044406333469563</v>
      </c>
      <c r="R300" s="9">
        <v>0.375</v>
      </c>
      <c r="S300" s="9">
        <v>0.27604912779159585</v>
      </c>
    </row>
    <row r="301" spans="1:19" ht="15.6" x14ac:dyDescent="0.3">
      <c r="A301" s="13" t="s">
        <v>37</v>
      </c>
      <c r="B301" s="2" t="s">
        <v>90</v>
      </c>
      <c r="C301" s="1">
        <v>2019</v>
      </c>
      <c r="D301" s="4" t="s">
        <v>166</v>
      </c>
      <c r="E301" s="5"/>
      <c r="F301" s="5"/>
      <c r="G301" s="5"/>
      <c r="H301" s="5"/>
      <c r="I301">
        <v>0.7</v>
      </c>
      <c r="J301" s="1">
        <v>0.5</v>
      </c>
      <c r="K301" s="1">
        <v>0.2</v>
      </c>
      <c r="L301" s="9">
        <v>1.29</v>
      </c>
      <c r="M301" s="9">
        <v>6.05</v>
      </c>
      <c r="N301" s="9">
        <v>8.35</v>
      </c>
      <c r="O301" s="9">
        <f>LN(365.18)</f>
        <v>5.9003903827085873</v>
      </c>
      <c r="P301" s="12">
        <v>0.7</v>
      </c>
      <c r="Q301" s="9">
        <v>14.059033824929104</v>
      </c>
      <c r="R301" s="9">
        <v>0.375</v>
      </c>
      <c r="S301" s="9">
        <v>0.27523484482682936</v>
      </c>
    </row>
    <row r="302" spans="1:19" ht="15.6" x14ac:dyDescent="0.3">
      <c r="A302" s="13" t="s">
        <v>37</v>
      </c>
      <c r="B302" s="2" t="s">
        <v>90</v>
      </c>
      <c r="C302" s="1">
        <v>2020</v>
      </c>
      <c r="D302" s="4" t="s">
        <v>166</v>
      </c>
      <c r="E302" s="5"/>
      <c r="F302" s="5"/>
      <c r="G302" s="5"/>
      <c r="H302" s="5"/>
      <c r="I302">
        <v>1.1000000000000001</v>
      </c>
      <c r="J302" s="1">
        <v>0.5</v>
      </c>
      <c r="K302" s="1">
        <v>0.6</v>
      </c>
      <c r="L302" s="9">
        <v>1.17</v>
      </c>
      <c r="M302" s="9">
        <v>4.54</v>
      </c>
      <c r="N302" s="9">
        <v>6.23</v>
      </c>
      <c r="O302" s="9">
        <f>LN(337.46)</f>
        <v>5.8214469847701915</v>
      </c>
      <c r="P302" s="12">
        <v>-0.1</v>
      </c>
      <c r="Q302" s="9">
        <v>14.078646063410508</v>
      </c>
      <c r="R302" s="9">
        <v>0.375</v>
      </c>
      <c r="S302" s="9">
        <v>0.27201243963311383</v>
      </c>
    </row>
    <row r="303" spans="1:19" ht="15.6" x14ac:dyDescent="0.3">
      <c r="A303" s="13" t="s">
        <v>37</v>
      </c>
      <c r="B303" s="2" t="s">
        <v>90</v>
      </c>
      <c r="C303" s="1">
        <v>2021</v>
      </c>
      <c r="D303" s="4" t="s">
        <v>166</v>
      </c>
      <c r="E303" s="5">
        <v>65.400000000000006</v>
      </c>
      <c r="F303" s="5">
        <v>28.3</v>
      </c>
      <c r="G303" s="5">
        <v>63.6</v>
      </c>
      <c r="H303" s="5">
        <v>86</v>
      </c>
      <c r="I303">
        <v>1.3</v>
      </c>
      <c r="J303" s="1">
        <v>0.5</v>
      </c>
      <c r="K303" s="1">
        <v>0.8</v>
      </c>
      <c r="L303" s="9">
        <v>1.1299999999999999</v>
      </c>
      <c r="M303" s="9">
        <v>3.83</v>
      </c>
      <c r="N303" s="9">
        <v>5.26</v>
      </c>
      <c r="O303" s="9">
        <f>LN(373.78)</f>
        <v>5.9236673890421567</v>
      </c>
      <c r="P303" s="12">
        <v>2.5</v>
      </c>
      <c r="Q303" s="9">
        <v>14.041154979494049</v>
      </c>
      <c r="R303" s="9">
        <v>0.375</v>
      </c>
      <c r="S303" s="9">
        <v>0.2729796589340292</v>
      </c>
    </row>
    <row r="304" spans="1:19" ht="15.6" x14ac:dyDescent="0.3">
      <c r="A304" s="13" t="s">
        <v>37</v>
      </c>
      <c r="B304" s="2" t="s">
        <v>90</v>
      </c>
      <c r="C304" s="1">
        <v>2022</v>
      </c>
      <c r="D304" s="4" t="s">
        <v>166</v>
      </c>
      <c r="E304" s="5">
        <v>73.8</v>
      </c>
      <c r="F304" s="5">
        <v>61.1</v>
      </c>
      <c r="G304" s="5">
        <v>68.900000000000006</v>
      </c>
      <c r="H304" s="5">
        <v>86.2</v>
      </c>
      <c r="I304">
        <v>2</v>
      </c>
      <c r="J304" s="1">
        <v>1</v>
      </c>
      <c r="K304" s="1">
        <v>1</v>
      </c>
      <c r="L304" s="9">
        <v>1.1100000000000001</v>
      </c>
      <c r="M304" s="9">
        <v>7.45</v>
      </c>
      <c r="N304" s="9">
        <v>10.24</v>
      </c>
      <c r="O304" s="9">
        <f>LN(407.61)</f>
        <v>6.0103108349043417</v>
      </c>
      <c r="P304" s="12">
        <v>3.4</v>
      </c>
      <c r="Q304" s="9">
        <v>14.001961078841907</v>
      </c>
      <c r="R304" s="9">
        <v>0.375</v>
      </c>
      <c r="S304" s="9">
        <v>0.27206931321656647</v>
      </c>
    </row>
    <row r="305" spans="1:19" ht="15.6" x14ac:dyDescent="0.3">
      <c r="A305" s="13" t="s">
        <v>37</v>
      </c>
      <c r="B305" s="2" t="s">
        <v>90</v>
      </c>
      <c r="C305" s="1">
        <v>2023</v>
      </c>
      <c r="D305" s="4" t="s">
        <v>166</v>
      </c>
      <c r="E305" s="5">
        <v>65.400000000000006</v>
      </c>
      <c r="F305" s="5">
        <v>28.3</v>
      </c>
      <c r="G305" s="5">
        <v>63.6</v>
      </c>
      <c r="H305" s="5">
        <v>86</v>
      </c>
      <c r="I305">
        <v>1.3</v>
      </c>
      <c r="J305" s="1">
        <v>0.5</v>
      </c>
      <c r="K305" s="1">
        <v>0.8</v>
      </c>
      <c r="L305" s="9">
        <v>1.1299999999999999</v>
      </c>
      <c r="M305" s="9">
        <v>9.4</v>
      </c>
      <c r="N305" s="9">
        <v>12.82</v>
      </c>
      <c r="O305" s="9">
        <f>LN(399.71)</f>
        <v>5.9907392841683871</v>
      </c>
      <c r="P305" s="12">
        <v>2.5</v>
      </c>
      <c r="Q305" s="9">
        <v>13.996950893263261</v>
      </c>
      <c r="R305" s="9">
        <v>0.375</v>
      </c>
      <c r="S305" s="9">
        <v>0.26673661717029085</v>
      </c>
    </row>
    <row r="306" spans="1:19" ht="15.6" x14ac:dyDescent="0.3">
      <c r="A306" s="13" t="s">
        <v>38</v>
      </c>
      <c r="B306" s="2" t="s">
        <v>91</v>
      </c>
      <c r="C306" s="1">
        <v>2016</v>
      </c>
      <c r="D306" s="4" t="s">
        <v>163</v>
      </c>
      <c r="E306" s="5"/>
      <c r="F306" s="5"/>
      <c r="G306" s="5"/>
      <c r="H306" s="5"/>
      <c r="I306">
        <v>0.7</v>
      </c>
      <c r="J306" s="1">
        <v>0.5</v>
      </c>
      <c r="K306" s="1">
        <v>0.2</v>
      </c>
      <c r="L306" s="9">
        <v>1.41</v>
      </c>
      <c r="M306" s="9">
        <v>1.65</v>
      </c>
      <c r="N306" s="9">
        <v>2.56</v>
      </c>
      <c r="O306" s="9">
        <f>LN(301.26)</f>
        <v>5.7079736792746694</v>
      </c>
      <c r="P306" s="12">
        <v>2.1</v>
      </c>
      <c r="Q306" s="9">
        <v>15.930534109392207</v>
      </c>
      <c r="R306" s="9">
        <v>0.25</v>
      </c>
      <c r="S306" s="9">
        <v>0.35750280978472171</v>
      </c>
    </row>
    <row r="307" spans="1:19" ht="15.6" x14ac:dyDescent="0.3">
      <c r="A307" s="1" t="s">
        <v>38</v>
      </c>
      <c r="B307" s="2" t="s">
        <v>91</v>
      </c>
      <c r="C307" s="1">
        <v>2017</v>
      </c>
      <c r="D307" s="4" t="s">
        <v>163</v>
      </c>
      <c r="E307" s="5"/>
      <c r="F307" s="5"/>
      <c r="G307" s="5"/>
      <c r="H307" s="5"/>
      <c r="I307">
        <v>0.7</v>
      </c>
      <c r="J307" s="1">
        <v>0.5</v>
      </c>
      <c r="K307" s="1">
        <v>0.2</v>
      </c>
      <c r="L307" s="9">
        <v>1.24</v>
      </c>
      <c r="M307" s="9">
        <v>2.4900000000000002</v>
      </c>
      <c r="N307" s="9">
        <v>3.75</v>
      </c>
      <c r="O307" s="9">
        <f>LN(319.11)</f>
        <v>5.7655358709316831</v>
      </c>
      <c r="P307" s="9">
        <v>3.9</v>
      </c>
      <c r="Q307" s="9">
        <v>16.075484139540723</v>
      </c>
      <c r="R307" s="9">
        <v>0.25</v>
      </c>
      <c r="S307" s="9">
        <v>0.33460731249079084</v>
      </c>
    </row>
    <row r="308" spans="1:19" ht="15.6" x14ac:dyDescent="0.3">
      <c r="A308" s="1" t="s">
        <v>38</v>
      </c>
      <c r="B308" s="2" t="s">
        <v>91</v>
      </c>
      <c r="C308" s="1">
        <v>2018</v>
      </c>
      <c r="D308" s="4" t="s">
        <v>163</v>
      </c>
      <c r="E308" s="5"/>
      <c r="F308" s="5"/>
      <c r="G308" s="5"/>
      <c r="H308" s="5"/>
      <c r="I308">
        <v>0.9</v>
      </c>
      <c r="J308" s="1">
        <v>0.5</v>
      </c>
      <c r="K308" s="1">
        <v>0.4</v>
      </c>
      <c r="L308" s="9">
        <v>1.05</v>
      </c>
      <c r="M308" s="9">
        <v>1.39</v>
      </c>
      <c r="N308" s="9">
        <v>2.21</v>
      </c>
      <c r="O308" s="9">
        <f>LN(358.79)</f>
        <v>5.8827372591162019</v>
      </c>
      <c r="P308" s="9">
        <v>0.9</v>
      </c>
      <c r="Q308" s="9">
        <v>16.20230287498342</v>
      </c>
      <c r="R308" s="9">
        <v>0.30769230769230771</v>
      </c>
      <c r="S308" s="9">
        <v>0.37025408641580038</v>
      </c>
    </row>
    <row r="309" spans="1:19" ht="15.6" x14ac:dyDescent="0.3">
      <c r="A309" s="1" t="s">
        <v>38</v>
      </c>
      <c r="B309" s="2" t="s">
        <v>91</v>
      </c>
      <c r="C309" s="1">
        <v>2019</v>
      </c>
      <c r="D309" s="4" t="s">
        <v>163</v>
      </c>
      <c r="E309" s="5"/>
      <c r="F309" s="5"/>
      <c r="G309" s="5"/>
      <c r="H309" s="5"/>
      <c r="I309">
        <v>2</v>
      </c>
      <c r="J309" s="1">
        <v>1</v>
      </c>
      <c r="K309" s="1">
        <v>1</v>
      </c>
      <c r="L309" s="9">
        <v>1.07</v>
      </c>
      <c r="M309" s="9">
        <v>1.22</v>
      </c>
      <c r="N309" s="9">
        <v>1.96</v>
      </c>
      <c r="O309" s="9">
        <f>LN(365.18)</f>
        <v>5.9003903827085873</v>
      </c>
      <c r="P309" s="12">
        <v>0.7</v>
      </c>
      <c r="Q309" s="9">
        <v>16.214200514917533</v>
      </c>
      <c r="R309" s="9">
        <v>0.30769230769230771</v>
      </c>
      <c r="S309" s="9">
        <v>0.37642801245736912</v>
      </c>
    </row>
    <row r="310" spans="1:19" ht="15.6" x14ac:dyDescent="0.3">
      <c r="A310" s="1" t="s">
        <v>38</v>
      </c>
      <c r="B310" s="2" t="s">
        <v>91</v>
      </c>
      <c r="C310" s="1">
        <v>2020</v>
      </c>
      <c r="D310" s="4" t="s">
        <v>163</v>
      </c>
      <c r="E310" s="5"/>
      <c r="F310" s="5"/>
      <c r="G310" s="5"/>
      <c r="H310" s="5"/>
      <c r="I310">
        <v>0.9</v>
      </c>
      <c r="J310" s="1">
        <v>0.5</v>
      </c>
      <c r="K310" s="1">
        <v>0.4</v>
      </c>
      <c r="L310" s="9">
        <v>1.08</v>
      </c>
      <c r="M310" s="9">
        <v>0.65</v>
      </c>
      <c r="N310" s="9">
        <v>1.07</v>
      </c>
      <c r="O310" s="9">
        <f>LN(337.46)</f>
        <v>5.8214469847701915</v>
      </c>
      <c r="P310" s="12">
        <v>-0.1</v>
      </c>
      <c r="Q310" s="9">
        <v>16.222230235469542</v>
      </c>
      <c r="R310" s="9">
        <v>0.2857142857142857</v>
      </c>
      <c r="S310" s="9">
        <v>0.39293100120405516</v>
      </c>
    </row>
    <row r="311" spans="1:19" ht="15.6" x14ac:dyDescent="0.3">
      <c r="A311" s="1" t="s">
        <v>38</v>
      </c>
      <c r="B311" s="2" t="s">
        <v>91</v>
      </c>
      <c r="C311" s="1">
        <v>2021</v>
      </c>
      <c r="D311" s="4" t="s">
        <v>163</v>
      </c>
      <c r="E311" s="5">
        <v>58</v>
      </c>
      <c r="F311" s="5">
        <v>46.5</v>
      </c>
      <c r="G311" s="5">
        <v>72.400000000000006</v>
      </c>
      <c r="H311" s="5">
        <v>54.3</v>
      </c>
      <c r="I311">
        <v>0.9</v>
      </c>
      <c r="J311" s="1">
        <v>0.5</v>
      </c>
      <c r="K311" s="1">
        <v>0.4</v>
      </c>
      <c r="L311" s="9">
        <v>1.42</v>
      </c>
      <c r="M311" s="9">
        <v>4.09</v>
      </c>
      <c r="N311" s="9">
        <v>6.83</v>
      </c>
      <c r="O311" s="9">
        <f>LN(373.78)</f>
        <v>5.9236673890421567</v>
      </c>
      <c r="P311" s="12">
        <v>2.5</v>
      </c>
      <c r="Q311" s="9">
        <v>16.204094707391022</v>
      </c>
      <c r="R311" s="9">
        <v>0.33333333333333331</v>
      </c>
      <c r="S311" s="9">
        <v>0.40064450044425365</v>
      </c>
    </row>
    <row r="312" spans="1:19" ht="15.6" x14ac:dyDescent="0.3">
      <c r="A312" s="1" t="s">
        <v>38</v>
      </c>
      <c r="B312" s="2" t="s">
        <v>91</v>
      </c>
      <c r="C312" s="1">
        <v>2022</v>
      </c>
      <c r="D312" s="4" t="s">
        <v>163</v>
      </c>
      <c r="E312" s="5">
        <v>65.3</v>
      </c>
      <c r="F312" s="5">
        <v>50.8</v>
      </c>
      <c r="G312" s="5">
        <v>73.099999999999994</v>
      </c>
      <c r="H312" s="5">
        <v>74.900000000000006</v>
      </c>
      <c r="I312">
        <v>2</v>
      </c>
      <c r="J312" s="1">
        <v>1</v>
      </c>
      <c r="K312" s="1">
        <v>1</v>
      </c>
      <c r="L312" s="9">
        <v>1.1299999999999999</v>
      </c>
      <c r="M312" s="9">
        <v>3.2</v>
      </c>
      <c r="N312" s="9">
        <v>5.31</v>
      </c>
      <c r="O312" s="9">
        <f>LN(407.61)</f>
        <v>6.0103108349043417</v>
      </c>
      <c r="P312" s="12">
        <v>3.4</v>
      </c>
      <c r="Q312" s="9">
        <v>16.211849074191139</v>
      </c>
      <c r="R312" s="9">
        <v>0.33333333333333331</v>
      </c>
      <c r="S312" s="9">
        <v>0.39837906037291282</v>
      </c>
    </row>
    <row r="313" spans="1:19" ht="15.6" x14ac:dyDescent="0.3">
      <c r="A313" s="1" t="s">
        <v>38</v>
      </c>
      <c r="B313" s="2" t="s">
        <v>91</v>
      </c>
      <c r="C313" s="1">
        <v>2023</v>
      </c>
      <c r="D313" s="4" t="s">
        <v>163</v>
      </c>
      <c r="E313" s="5">
        <v>58</v>
      </c>
      <c r="F313" s="5">
        <v>46.5</v>
      </c>
      <c r="G313" s="5">
        <v>72.400000000000006</v>
      </c>
      <c r="H313" s="5">
        <v>54.3</v>
      </c>
      <c r="I313">
        <v>2</v>
      </c>
      <c r="J313" s="1">
        <v>1</v>
      </c>
      <c r="K313" s="1">
        <v>1</v>
      </c>
      <c r="L313" s="9">
        <v>1.06</v>
      </c>
      <c r="M313" s="9">
        <v>5.88</v>
      </c>
      <c r="N313" s="9">
        <v>9.1199999999999992</v>
      </c>
      <c r="O313" s="9">
        <f>LN(399.71)</f>
        <v>5.9907392841683871</v>
      </c>
      <c r="P313" s="12">
        <v>2.5</v>
      </c>
      <c r="Q313" s="9">
        <v>16.207162655364122</v>
      </c>
      <c r="R313" s="9">
        <v>0.375</v>
      </c>
      <c r="S313" s="9">
        <v>0.3553046830825925</v>
      </c>
    </row>
    <row r="314" spans="1:19" ht="15.6" x14ac:dyDescent="0.3">
      <c r="A314" s="13" t="s">
        <v>39</v>
      </c>
      <c r="B314" s="2" t="s">
        <v>92</v>
      </c>
      <c r="C314" s="1">
        <v>2016</v>
      </c>
      <c r="D314" s="4" t="s">
        <v>161</v>
      </c>
      <c r="E314" s="5">
        <v>85.9</v>
      </c>
      <c r="F314" s="5">
        <v>89.5</v>
      </c>
      <c r="G314" s="5">
        <v>96.5</v>
      </c>
      <c r="H314" s="5">
        <v>63.8</v>
      </c>
      <c r="I314">
        <v>1.1000000000000001</v>
      </c>
      <c r="J314" s="1">
        <v>0.5</v>
      </c>
      <c r="K314" s="1">
        <v>0.6</v>
      </c>
      <c r="L314" s="9">
        <v>0.59</v>
      </c>
      <c r="M314" s="9">
        <v>3.13</v>
      </c>
      <c r="N314" s="9">
        <v>6.04</v>
      </c>
      <c r="O314" s="9">
        <f>LN(301.26)</f>
        <v>5.7079736792746694</v>
      </c>
      <c r="P314" s="12">
        <v>2.1</v>
      </c>
      <c r="Q314" s="9">
        <v>15.367301137056762</v>
      </c>
      <c r="R314" s="9">
        <v>0.4</v>
      </c>
      <c r="S314" s="9">
        <v>0.48227467703860705</v>
      </c>
    </row>
    <row r="315" spans="1:19" ht="15.6" x14ac:dyDescent="0.3">
      <c r="A315" s="1" t="s">
        <v>39</v>
      </c>
      <c r="B315" s="2" t="s">
        <v>92</v>
      </c>
      <c r="C315" s="1">
        <v>2017</v>
      </c>
      <c r="D315" s="4" t="s">
        <v>161</v>
      </c>
      <c r="E315" s="5">
        <v>86.7</v>
      </c>
      <c r="F315" s="5">
        <v>88.9</v>
      </c>
      <c r="G315" s="5">
        <v>96</v>
      </c>
      <c r="H315" s="5">
        <v>68</v>
      </c>
      <c r="I315">
        <v>1.3</v>
      </c>
      <c r="J315" s="1">
        <v>0.5</v>
      </c>
      <c r="K315" s="1">
        <v>0.8</v>
      </c>
      <c r="L315" s="9">
        <v>0.46</v>
      </c>
      <c r="M315" s="9">
        <v>1.63</v>
      </c>
      <c r="N315" s="9">
        <v>3.3</v>
      </c>
      <c r="O315" s="9">
        <f>LN(319.11)</f>
        <v>5.7655358709316831</v>
      </c>
      <c r="P315" s="9">
        <v>3.9</v>
      </c>
      <c r="Q315" s="9">
        <v>15.519895493360144</v>
      </c>
      <c r="R315" s="9">
        <v>0.4</v>
      </c>
      <c r="S315" s="9">
        <v>0.50463177266363801</v>
      </c>
    </row>
    <row r="316" spans="1:19" ht="15.6" x14ac:dyDescent="0.3">
      <c r="A316" s="1" t="s">
        <v>39</v>
      </c>
      <c r="B316" s="2" t="s">
        <v>92</v>
      </c>
      <c r="C316" s="1">
        <v>2018</v>
      </c>
      <c r="D316" s="4" t="s">
        <v>161</v>
      </c>
      <c r="E316" s="5">
        <v>84</v>
      </c>
      <c r="F316" s="5">
        <v>88.8</v>
      </c>
      <c r="G316" s="5">
        <v>96.3</v>
      </c>
      <c r="H316" s="5">
        <v>57.3</v>
      </c>
      <c r="I316">
        <v>2</v>
      </c>
      <c r="J316" s="1">
        <v>1</v>
      </c>
      <c r="K316" s="1">
        <v>1</v>
      </c>
      <c r="L316" s="9">
        <v>0.35</v>
      </c>
      <c r="M316" s="9">
        <v>1.82</v>
      </c>
      <c r="N316" s="9">
        <v>3.68</v>
      </c>
      <c r="O316" s="9">
        <f>LN(358.79)</f>
        <v>5.8827372591162019</v>
      </c>
      <c r="P316" s="9">
        <v>0.9</v>
      </c>
      <c r="Q316" s="9">
        <v>15.544922526238274</v>
      </c>
      <c r="R316" s="9">
        <v>0.4</v>
      </c>
      <c r="S316" s="9">
        <v>0.50515367359558716</v>
      </c>
    </row>
    <row r="317" spans="1:19" ht="15.6" x14ac:dyDescent="0.3">
      <c r="A317" s="1" t="s">
        <v>39</v>
      </c>
      <c r="B317" s="2" t="s">
        <v>92</v>
      </c>
      <c r="C317" s="1">
        <v>2019</v>
      </c>
      <c r="D317" s="4" t="s">
        <v>161</v>
      </c>
      <c r="E317" s="5">
        <v>87.1</v>
      </c>
      <c r="F317" s="5">
        <v>85.5</v>
      </c>
      <c r="G317" s="5">
        <v>97.3</v>
      </c>
      <c r="H317" s="5">
        <v>71.400000000000006</v>
      </c>
      <c r="I317">
        <v>1.5</v>
      </c>
      <c r="J317" s="1">
        <v>0.5</v>
      </c>
      <c r="K317" s="1">
        <v>1</v>
      </c>
      <c r="L317" s="9">
        <v>0.25</v>
      </c>
      <c r="M317" s="9">
        <v>1.25</v>
      </c>
      <c r="N317" s="9">
        <v>2.5299999999999998</v>
      </c>
      <c r="O317" s="9">
        <f>LN(365.18)</f>
        <v>5.9003903827085873</v>
      </c>
      <c r="P317" s="12">
        <v>0.7</v>
      </c>
      <c r="Q317" s="9">
        <v>15.511324128695023</v>
      </c>
      <c r="R317" s="9">
        <v>0.45500000000000002</v>
      </c>
      <c r="S317" s="9">
        <v>0.50354012480831778</v>
      </c>
    </row>
    <row r="318" spans="1:19" ht="15.6" x14ac:dyDescent="0.3">
      <c r="A318" s="1" t="s">
        <v>39</v>
      </c>
      <c r="B318" s="2" t="s">
        <v>92</v>
      </c>
      <c r="C318" s="1">
        <v>2020</v>
      </c>
      <c r="D318" s="4" t="s">
        <v>161</v>
      </c>
      <c r="E318" s="5">
        <v>89</v>
      </c>
      <c r="F318" s="5">
        <v>89.6</v>
      </c>
      <c r="G318" s="5">
        <v>97.1</v>
      </c>
      <c r="H318" s="5">
        <v>74.3</v>
      </c>
      <c r="I318">
        <v>1.5</v>
      </c>
      <c r="J318" s="1">
        <v>0.5</v>
      </c>
      <c r="K318" s="1">
        <v>1</v>
      </c>
      <c r="L318" s="9">
        <v>0.26</v>
      </c>
      <c r="M318" s="9">
        <v>2.0499999999999998</v>
      </c>
      <c r="N318" s="9">
        <v>3.94</v>
      </c>
      <c r="O318" s="9">
        <f>LN(337.46)</f>
        <v>5.8214469847701915</v>
      </c>
      <c r="P318" s="12">
        <v>-0.1</v>
      </c>
      <c r="Q318" s="9">
        <v>15.546659426110937</v>
      </c>
      <c r="R318" s="9">
        <v>0.45500000000000002</v>
      </c>
      <c r="S318" s="9">
        <v>0.48104508868031914</v>
      </c>
    </row>
    <row r="319" spans="1:19" ht="15.6" x14ac:dyDescent="0.3">
      <c r="A319" s="1" t="s">
        <v>39</v>
      </c>
      <c r="B319" s="2" t="s">
        <v>92</v>
      </c>
      <c r="C319" s="1">
        <v>2021</v>
      </c>
      <c r="D319" s="4" t="s">
        <v>161</v>
      </c>
      <c r="E319" s="5">
        <v>49.7</v>
      </c>
      <c r="F319" s="5">
        <v>44.5</v>
      </c>
      <c r="G319" s="5">
        <v>72.8</v>
      </c>
      <c r="H319" s="5">
        <v>17.600000000000001</v>
      </c>
      <c r="I319">
        <v>1.3</v>
      </c>
      <c r="J319" s="1">
        <v>0.5</v>
      </c>
      <c r="K319" s="1">
        <v>0.8</v>
      </c>
      <c r="L319" s="9">
        <v>0.28999999999999998</v>
      </c>
      <c r="M319" s="9">
        <v>4.01</v>
      </c>
      <c r="N319" s="9">
        <v>7.34</v>
      </c>
      <c r="O319" s="9">
        <f>LN(373.78)</f>
        <v>5.9236673890421567</v>
      </c>
      <c r="P319" s="12">
        <v>2.5</v>
      </c>
      <c r="Q319" s="9">
        <v>15.424569998787028</v>
      </c>
      <c r="R319" s="9">
        <v>0.5</v>
      </c>
      <c r="S319" s="9">
        <v>0.45456380694454784</v>
      </c>
    </row>
    <row r="320" spans="1:19" ht="15.6" x14ac:dyDescent="0.3">
      <c r="A320" s="1" t="s">
        <v>39</v>
      </c>
      <c r="B320" s="2" t="s">
        <v>92</v>
      </c>
      <c r="C320" s="1">
        <v>2022</v>
      </c>
      <c r="D320" s="4" t="s">
        <v>161</v>
      </c>
      <c r="E320" s="5">
        <v>61.4</v>
      </c>
      <c r="F320" s="5">
        <v>43.2</v>
      </c>
      <c r="G320" s="5">
        <v>79.8</v>
      </c>
      <c r="H320" s="5">
        <v>53.2</v>
      </c>
      <c r="I320">
        <v>1.3</v>
      </c>
      <c r="J320" s="1">
        <v>0.5</v>
      </c>
      <c r="K320" s="1">
        <v>0.8</v>
      </c>
      <c r="L320" s="9">
        <v>0.28999999999999998</v>
      </c>
      <c r="M320" s="9">
        <v>0.77</v>
      </c>
      <c r="N320" s="9">
        <v>1.44</v>
      </c>
      <c r="O320" s="9">
        <f>LN(407.61)</f>
        <v>6.0103108349043417</v>
      </c>
      <c r="P320" s="12">
        <v>3.4</v>
      </c>
      <c r="Q320" s="9">
        <v>15.352804138271797</v>
      </c>
      <c r="R320" s="9">
        <v>0.53800000000000003</v>
      </c>
      <c r="S320" s="9">
        <v>0.46558983556044808</v>
      </c>
    </row>
    <row r="321" spans="1:19" ht="15.6" x14ac:dyDescent="0.3">
      <c r="A321" s="1" t="s">
        <v>39</v>
      </c>
      <c r="B321" s="2" t="s">
        <v>92</v>
      </c>
      <c r="C321" s="1">
        <v>2023</v>
      </c>
      <c r="D321" s="4" t="s">
        <v>161</v>
      </c>
      <c r="E321" s="5">
        <v>49.7</v>
      </c>
      <c r="F321" s="5">
        <v>44.5</v>
      </c>
      <c r="G321" s="5">
        <v>72.8</v>
      </c>
      <c r="H321" s="5">
        <v>17.600000000000001</v>
      </c>
      <c r="I321">
        <v>2</v>
      </c>
      <c r="J321" s="1">
        <v>1</v>
      </c>
      <c r="K321" s="1">
        <v>1</v>
      </c>
      <c r="L321" s="9">
        <v>0.42</v>
      </c>
      <c r="M321" s="9">
        <v>2.82</v>
      </c>
      <c r="N321" s="9">
        <v>5.3</v>
      </c>
      <c r="O321" s="9">
        <f>LN(399.71)</f>
        <v>5.9907392841683871</v>
      </c>
      <c r="P321" s="12">
        <v>2.5</v>
      </c>
      <c r="Q321" s="9">
        <v>15.321328661054078</v>
      </c>
      <c r="R321" s="9">
        <v>0.57099999999999995</v>
      </c>
      <c r="S321" s="9">
        <v>0.46898026549300775</v>
      </c>
    </row>
    <row r="322" spans="1:19" ht="15.6" x14ac:dyDescent="0.3">
      <c r="A322" s="13" t="s">
        <v>40</v>
      </c>
      <c r="B322" s="2" t="s">
        <v>93</v>
      </c>
      <c r="C322" s="1">
        <v>2016</v>
      </c>
      <c r="D322" s="4" t="s">
        <v>165</v>
      </c>
      <c r="E322" s="5">
        <v>23.8</v>
      </c>
      <c r="F322" s="5">
        <v>19.7</v>
      </c>
      <c r="G322" s="5">
        <v>22</v>
      </c>
      <c r="H322" s="5">
        <v>33.799999999999997</v>
      </c>
      <c r="I322">
        <v>1.4</v>
      </c>
      <c r="J322" s="1">
        <v>1</v>
      </c>
      <c r="K322" s="1">
        <v>0.4</v>
      </c>
      <c r="L322" s="9">
        <v>3.24</v>
      </c>
      <c r="M322" s="9">
        <v>16.93</v>
      </c>
      <c r="N322" s="9">
        <v>21.77</v>
      </c>
      <c r="O322" s="9">
        <f>LN(301.26)</f>
        <v>5.7079736792746694</v>
      </c>
      <c r="P322" s="12">
        <v>2.1</v>
      </c>
      <c r="Q322" s="9">
        <v>12.29098348460057</v>
      </c>
      <c r="R322" s="9">
        <v>0.36399999999999999</v>
      </c>
      <c r="S322" s="9">
        <v>0.22241002369972993</v>
      </c>
    </row>
    <row r="323" spans="1:19" ht="15.6" x14ac:dyDescent="0.3">
      <c r="A323" s="13" t="s">
        <v>40</v>
      </c>
      <c r="B323" s="2" t="s">
        <v>93</v>
      </c>
      <c r="C323" s="1">
        <v>2017</v>
      </c>
      <c r="D323" s="4" t="s">
        <v>165</v>
      </c>
      <c r="E323" s="5">
        <v>21.7</v>
      </c>
      <c r="F323" s="5"/>
      <c r="G323" s="5">
        <v>13.8</v>
      </c>
      <c r="H323" s="5">
        <v>39.4</v>
      </c>
      <c r="I323">
        <v>1.8</v>
      </c>
      <c r="J323" s="1">
        <v>1</v>
      </c>
      <c r="K323" s="1">
        <v>0.8</v>
      </c>
      <c r="L323" s="9">
        <v>3.5</v>
      </c>
      <c r="M323" s="9">
        <v>18.93</v>
      </c>
      <c r="N323" s="9">
        <v>26.08</v>
      </c>
      <c r="O323" s="9">
        <f>LN(319.11)</f>
        <v>5.7655358709316831</v>
      </c>
      <c r="P323" s="9">
        <v>3.9</v>
      </c>
      <c r="Q323" s="9">
        <v>12.543430204423661</v>
      </c>
      <c r="R323" s="9">
        <v>0.36399999999999999</v>
      </c>
      <c r="S323" s="9">
        <v>0.27426065484856271</v>
      </c>
    </row>
    <row r="324" spans="1:19" ht="15.6" x14ac:dyDescent="0.3">
      <c r="A324" s="13" t="s">
        <v>40</v>
      </c>
      <c r="B324" s="2" t="s">
        <v>93</v>
      </c>
      <c r="C324" s="1">
        <v>2018</v>
      </c>
      <c r="D324" s="4" t="s">
        <v>165</v>
      </c>
      <c r="E324" s="5">
        <v>34.5</v>
      </c>
      <c r="F324" s="5">
        <v>9.6</v>
      </c>
      <c r="G324" s="5">
        <v>14.7</v>
      </c>
      <c r="H324" s="5">
        <v>68.8</v>
      </c>
      <c r="I324">
        <v>1.6</v>
      </c>
      <c r="J324" s="1">
        <v>1</v>
      </c>
      <c r="K324" s="1">
        <v>0.6</v>
      </c>
      <c r="L324" s="9">
        <v>5.37</v>
      </c>
      <c r="M324" s="9">
        <v>18.72</v>
      </c>
      <c r="N324" s="9">
        <v>23.28</v>
      </c>
      <c r="O324" s="9">
        <f>LN(358.79)</f>
        <v>5.8827372591162019</v>
      </c>
      <c r="P324" s="9">
        <v>0.9</v>
      </c>
      <c r="Q324" s="9">
        <v>12.706150720749401</v>
      </c>
      <c r="R324" s="9">
        <v>0.45500000000000002</v>
      </c>
      <c r="S324" s="9">
        <v>0.19594869151226613</v>
      </c>
    </row>
    <row r="325" spans="1:19" ht="15.6" x14ac:dyDescent="0.3">
      <c r="A325" s="13" t="s">
        <v>40</v>
      </c>
      <c r="B325" s="2" t="s">
        <v>93</v>
      </c>
      <c r="C325" s="1">
        <v>2019</v>
      </c>
      <c r="D325" s="4" t="s">
        <v>165</v>
      </c>
      <c r="E325" s="5">
        <v>50.5</v>
      </c>
      <c r="F325" s="5">
        <v>65.400000000000006</v>
      </c>
      <c r="G325" s="5">
        <v>71.900000000000006</v>
      </c>
      <c r="H325" s="5">
        <v>19.399999999999999</v>
      </c>
      <c r="I325">
        <v>1.6</v>
      </c>
      <c r="J325" s="1">
        <v>1</v>
      </c>
      <c r="K325" s="1">
        <v>0.6</v>
      </c>
      <c r="L325" s="9">
        <v>3.79</v>
      </c>
      <c r="M325" s="9">
        <v>14.3</v>
      </c>
      <c r="N325" s="9">
        <v>17.09</v>
      </c>
      <c r="O325" s="9">
        <f>LN(365.18)</f>
        <v>5.9003903827085873</v>
      </c>
      <c r="P325" s="12">
        <v>0.7</v>
      </c>
      <c r="Q325" s="9">
        <v>12.687251103150645</v>
      </c>
      <c r="R325" s="9">
        <v>0.45500000000000002</v>
      </c>
      <c r="S325" s="9">
        <v>0.16292537608623098</v>
      </c>
    </row>
    <row r="326" spans="1:19" ht="15.6" x14ac:dyDescent="0.3">
      <c r="A326" s="13" t="s">
        <v>40</v>
      </c>
      <c r="B326" s="2" t="s">
        <v>93</v>
      </c>
      <c r="C326" s="1">
        <v>2020</v>
      </c>
      <c r="D326" s="4" t="s">
        <v>165</v>
      </c>
      <c r="E326" s="5">
        <v>55.6</v>
      </c>
      <c r="F326" s="5">
        <v>60.1</v>
      </c>
      <c r="G326" s="5">
        <v>88.3</v>
      </c>
      <c r="H326" s="5">
        <v>17.100000000000001</v>
      </c>
      <c r="I326">
        <v>1.8</v>
      </c>
      <c r="J326" s="1">
        <v>1</v>
      </c>
      <c r="K326" s="1">
        <v>0.8</v>
      </c>
      <c r="L326" s="9">
        <v>3.74</v>
      </c>
      <c r="M326" s="9">
        <v>10.64</v>
      </c>
      <c r="N326" s="9">
        <v>12.88</v>
      </c>
      <c r="O326" s="9">
        <f>LN(337.46)</f>
        <v>5.8214469847701915</v>
      </c>
      <c r="P326" s="12">
        <v>-0.1</v>
      </c>
      <c r="Q326" s="9">
        <v>12.742832062522584</v>
      </c>
      <c r="R326" s="9">
        <v>0.45500000000000002</v>
      </c>
      <c r="S326" s="9">
        <v>0.17431326752238441</v>
      </c>
    </row>
    <row r="327" spans="1:19" ht="15.6" x14ac:dyDescent="0.3">
      <c r="A327" s="13" t="s">
        <v>40</v>
      </c>
      <c r="B327" s="2" t="s">
        <v>93</v>
      </c>
      <c r="C327" s="1">
        <v>2021</v>
      </c>
      <c r="D327" s="4" t="s">
        <v>165</v>
      </c>
      <c r="E327" s="5">
        <v>53.9</v>
      </c>
      <c r="F327" s="5">
        <v>62.4</v>
      </c>
      <c r="G327" s="5">
        <v>49.5</v>
      </c>
      <c r="H327" s="5">
        <v>52.2</v>
      </c>
      <c r="I327">
        <v>2</v>
      </c>
      <c r="J327" s="1">
        <v>1</v>
      </c>
      <c r="K327" s="1">
        <v>1</v>
      </c>
      <c r="L327" s="9">
        <v>5.83</v>
      </c>
      <c r="M327" s="9">
        <v>18.16</v>
      </c>
      <c r="N327" s="9">
        <v>23.99</v>
      </c>
      <c r="O327" s="9">
        <f>LN(373.78)</f>
        <v>5.9236673890421567</v>
      </c>
      <c r="P327" s="12">
        <v>2.5</v>
      </c>
      <c r="Q327" s="9">
        <v>12.990330290330666</v>
      </c>
      <c r="R327" s="9">
        <v>0.45500000000000002</v>
      </c>
      <c r="S327" s="9">
        <v>0.24325354439971153</v>
      </c>
    </row>
    <row r="328" spans="1:19" ht="15.6" x14ac:dyDescent="0.3">
      <c r="A328" s="13" t="s">
        <v>40</v>
      </c>
      <c r="B328" s="2" t="s">
        <v>93</v>
      </c>
      <c r="C328" s="1">
        <v>2022</v>
      </c>
      <c r="D328" s="4" t="s">
        <v>165</v>
      </c>
      <c r="E328" s="5">
        <v>53.4</v>
      </c>
      <c r="F328" s="5">
        <v>62.9</v>
      </c>
      <c r="G328" s="5">
        <v>49.8</v>
      </c>
      <c r="H328" s="5">
        <v>49.3</v>
      </c>
      <c r="I328">
        <v>1.5</v>
      </c>
      <c r="J328" s="1">
        <v>0.5</v>
      </c>
      <c r="K328" s="1">
        <v>1</v>
      </c>
      <c r="L328" s="9">
        <v>3.38</v>
      </c>
      <c r="M328" s="9">
        <v>13.51</v>
      </c>
      <c r="N328" s="9">
        <v>15.57</v>
      </c>
      <c r="O328" s="9">
        <f>LN(407.61)</f>
        <v>6.0103108349043417</v>
      </c>
      <c r="P328" s="12">
        <v>3.4</v>
      </c>
      <c r="Q328" s="9">
        <v>13.395481914519054</v>
      </c>
      <c r="R328" s="9">
        <v>0.45500000000000002</v>
      </c>
      <c r="S328" s="9">
        <v>0.13249207035316607</v>
      </c>
    </row>
    <row r="329" spans="1:19" ht="15.6" x14ac:dyDescent="0.3">
      <c r="A329" s="13" t="s">
        <v>40</v>
      </c>
      <c r="B329" s="2" t="s">
        <v>93</v>
      </c>
      <c r="C329" s="1">
        <v>2023</v>
      </c>
      <c r="D329" s="4" t="s">
        <v>165</v>
      </c>
      <c r="E329" s="5">
        <v>53.9</v>
      </c>
      <c r="F329" s="5">
        <v>62.4</v>
      </c>
      <c r="G329" s="5">
        <v>49.5</v>
      </c>
      <c r="H329" s="5">
        <v>52.2</v>
      </c>
      <c r="I329">
        <v>1.5</v>
      </c>
      <c r="J329" s="1">
        <v>0.5</v>
      </c>
      <c r="K329" s="1">
        <v>1</v>
      </c>
      <c r="L329" s="9">
        <v>3.45</v>
      </c>
      <c r="M329" s="9">
        <v>10.91</v>
      </c>
      <c r="N329" s="9">
        <v>12.42</v>
      </c>
      <c r="O329" s="9">
        <f>LN(399.71)</f>
        <v>5.9907392841683871</v>
      </c>
      <c r="P329" s="12">
        <v>2.5</v>
      </c>
      <c r="Q329" s="9">
        <v>13.359894134740895</v>
      </c>
      <c r="R329" s="9">
        <v>0.54500000000000004</v>
      </c>
      <c r="S329" s="9">
        <v>0.12164994629820347</v>
      </c>
    </row>
    <row r="330" spans="1:19" ht="15.6" x14ac:dyDescent="0.3">
      <c r="A330" s="13" t="s">
        <v>41</v>
      </c>
      <c r="B330" s="2" t="s">
        <v>94</v>
      </c>
      <c r="C330" s="1">
        <v>2016</v>
      </c>
      <c r="D330" s="4" t="s">
        <v>162</v>
      </c>
      <c r="E330" s="5"/>
      <c r="F330" s="5"/>
      <c r="G330" s="5"/>
      <c r="H330" s="5"/>
      <c r="I330">
        <v>0</v>
      </c>
      <c r="J330" s="1">
        <v>0</v>
      </c>
      <c r="K330" s="1">
        <v>0</v>
      </c>
      <c r="L330" s="9">
        <v>1.6</v>
      </c>
      <c r="M330" s="9">
        <v>3.59</v>
      </c>
      <c r="N330" s="9">
        <v>8.49</v>
      </c>
      <c r="O330" s="9">
        <f>LN(301.26)</f>
        <v>5.7079736792746694</v>
      </c>
      <c r="P330" s="12">
        <v>2.1</v>
      </c>
      <c r="Q330" s="9">
        <v>15.289008465108143</v>
      </c>
      <c r="R330" s="9">
        <v>0.33333333333333331</v>
      </c>
      <c r="S330" s="9">
        <v>0.57752581925661162</v>
      </c>
    </row>
    <row r="331" spans="1:19" ht="15.6" x14ac:dyDescent="0.3">
      <c r="A331" s="1" t="s">
        <v>41</v>
      </c>
      <c r="B331" s="2" t="s">
        <v>94</v>
      </c>
      <c r="C331" s="1">
        <v>2017</v>
      </c>
      <c r="D331" s="4" t="s">
        <v>162</v>
      </c>
      <c r="E331" s="5"/>
      <c r="F331" s="5"/>
      <c r="G331" s="5"/>
      <c r="H331" s="5"/>
      <c r="I331">
        <v>0</v>
      </c>
      <c r="J331" s="1">
        <v>0</v>
      </c>
      <c r="K331" s="1">
        <v>0</v>
      </c>
      <c r="L331" s="9">
        <v>1.55</v>
      </c>
      <c r="M331" s="9">
        <v>4.12</v>
      </c>
      <c r="N331" s="9">
        <v>9.6300000000000008</v>
      </c>
      <c r="O331" s="9">
        <f>LN(319.11)</f>
        <v>5.7655358709316831</v>
      </c>
      <c r="P331" s="9">
        <v>3.9</v>
      </c>
      <c r="Q331" s="9">
        <v>15.250034926395033</v>
      </c>
      <c r="R331" s="9">
        <v>0.44444444444444442</v>
      </c>
      <c r="S331" s="9">
        <v>0.57177090599307046</v>
      </c>
    </row>
    <row r="332" spans="1:19" ht="15.6" x14ac:dyDescent="0.3">
      <c r="A332" s="1" t="s">
        <v>41</v>
      </c>
      <c r="B332" s="2" t="s">
        <v>94</v>
      </c>
      <c r="C332" s="1">
        <v>2018</v>
      </c>
      <c r="D332" s="4" t="s">
        <v>162</v>
      </c>
      <c r="E332" s="5"/>
      <c r="F332" s="5"/>
      <c r="G332" s="5"/>
      <c r="H332" s="5"/>
      <c r="I332">
        <v>0</v>
      </c>
      <c r="J332" s="1">
        <v>0</v>
      </c>
      <c r="K332" s="1">
        <v>0</v>
      </c>
      <c r="L332" s="9">
        <v>1.7</v>
      </c>
      <c r="M332" s="9">
        <v>18.28</v>
      </c>
      <c r="N332" s="9">
        <v>32.5</v>
      </c>
      <c r="O332" s="9">
        <f>LN(358.79)</f>
        <v>5.8827372591162019</v>
      </c>
      <c r="P332" s="9">
        <v>0.9</v>
      </c>
      <c r="Q332" s="9">
        <v>15.237593547443447</v>
      </c>
      <c r="R332" s="9">
        <v>0.44444444444444442</v>
      </c>
      <c r="S332" s="9">
        <v>0.43762028893707211</v>
      </c>
    </row>
    <row r="333" spans="1:19" ht="15.6" x14ac:dyDescent="0.3">
      <c r="A333" s="1" t="s">
        <v>41</v>
      </c>
      <c r="B333" s="2" t="s">
        <v>94</v>
      </c>
      <c r="C333" s="1">
        <v>2019</v>
      </c>
      <c r="D333" s="4" t="s">
        <v>162</v>
      </c>
      <c r="E333" s="5"/>
      <c r="F333" s="5"/>
      <c r="G333" s="5"/>
      <c r="H333" s="5"/>
      <c r="I333">
        <v>0</v>
      </c>
      <c r="J333" s="1">
        <v>0</v>
      </c>
      <c r="K333" s="1">
        <v>0</v>
      </c>
      <c r="L333" s="9">
        <v>1.62</v>
      </c>
      <c r="M333" s="9">
        <v>3.83</v>
      </c>
      <c r="N333" s="9">
        <v>6.64</v>
      </c>
      <c r="O333" s="9">
        <f>LN(365.18)</f>
        <v>5.9003903827085873</v>
      </c>
      <c r="P333" s="12">
        <v>0.7</v>
      </c>
      <c r="Q333" s="9">
        <v>15.197704272915157</v>
      </c>
      <c r="R333" s="9">
        <v>0.44444444444444442</v>
      </c>
      <c r="S333" s="9">
        <v>0.42360098111496775</v>
      </c>
    </row>
    <row r="334" spans="1:19" ht="15.6" x14ac:dyDescent="0.3">
      <c r="A334" s="1" t="s">
        <v>41</v>
      </c>
      <c r="B334" s="2" t="s">
        <v>94</v>
      </c>
      <c r="C334" s="1">
        <v>2020</v>
      </c>
      <c r="D334" s="4" t="s">
        <v>162</v>
      </c>
      <c r="E334" s="5"/>
      <c r="F334" s="5"/>
      <c r="G334" s="5"/>
      <c r="H334" s="5"/>
      <c r="I334">
        <v>0</v>
      </c>
      <c r="J334" s="1">
        <v>0</v>
      </c>
      <c r="K334" s="1">
        <v>0</v>
      </c>
      <c r="L334" s="9">
        <v>1.63</v>
      </c>
      <c r="M334" s="9">
        <v>3.59</v>
      </c>
      <c r="N334" s="9">
        <v>6.28</v>
      </c>
      <c r="O334" s="9">
        <f>LN(337.46)</f>
        <v>5.8214469847701915</v>
      </c>
      <c r="P334" s="12">
        <v>-0.1</v>
      </c>
      <c r="Q334" s="9">
        <v>15.178856609312712</v>
      </c>
      <c r="R334" s="9">
        <v>0.44444444444444442</v>
      </c>
      <c r="S334" s="9">
        <v>0.42798647925485489</v>
      </c>
    </row>
    <row r="335" spans="1:19" ht="15.6" x14ac:dyDescent="0.3">
      <c r="A335" s="1" t="s">
        <v>41</v>
      </c>
      <c r="B335" s="2" t="s">
        <v>94</v>
      </c>
      <c r="C335" s="1">
        <v>2021</v>
      </c>
      <c r="D335" s="4" t="s">
        <v>162</v>
      </c>
      <c r="E335" s="5">
        <v>74.900000000000006</v>
      </c>
      <c r="F335" s="5">
        <v>68.3</v>
      </c>
      <c r="G335" s="5">
        <v>79.599999999999994</v>
      </c>
      <c r="H335" s="5">
        <v>76</v>
      </c>
      <c r="I335">
        <v>1.1000000000000001</v>
      </c>
      <c r="J335" s="1">
        <v>0.5</v>
      </c>
      <c r="K335" s="1">
        <v>0.6</v>
      </c>
      <c r="L335" s="9">
        <v>1.34</v>
      </c>
      <c r="M335" s="9">
        <v>7.9</v>
      </c>
      <c r="N335" s="9">
        <v>13.52</v>
      </c>
      <c r="O335" s="9">
        <f>LN(373.78)</f>
        <v>5.9236673890421567</v>
      </c>
      <c r="P335" s="12">
        <v>2.5</v>
      </c>
      <c r="Q335" s="9">
        <v>15.262437305576336</v>
      </c>
      <c r="R335" s="9">
        <v>0.44444444444444442</v>
      </c>
      <c r="S335" s="9">
        <v>0.4158033596445016</v>
      </c>
    </row>
    <row r="336" spans="1:19" ht="15.6" x14ac:dyDescent="0.3">
      <c r="A336" s="1" t="s">
        <v>41</v>
      </c>
      <c r="B336" s="2" t="s">
        <v>94</v>
      </c>
      <c r="C336" s="1">
        <v>2022</v>
      </c>
      <c r="D336" s="4" t="s">
        <v>162</v>
      </c>
      <c r="E336" s="5">
        <v>76.900000000000006</v>
      </c>
      <c r="F336" s="5">
        <v>66.099999999999994</v>
      </c>
      <c r="G336" s="5">
        <v>83.1</v>
      </c>
      <c r="H336" s="5">
        <v>80.599999999999994</v>
      </c>
      <c r="I336">
        <v>0.5</v>
      </c>
      <c r="J336" s="1">
        <v>0.5</v>
      </c>
      <c r="K336" s="1">
        <v>0</v>
      </c>
      <c r="L336" s="9">
        <v>1.26</v>
      </c>
      <c r="M336" s="9">
        <v>9</v>
      </c>
      <c r="N336" s="9">
        <v>15.29</v>
      </c>
      <c r="O336" s="9">
        <f>LN(407.61)</f>
        <v>6.0103108349043417</v>
      </c>
      <c r="P336" s="12">
        <v>3.4</v>
      </c>
      <c r="Q336" s="9">
        <v>15.2858884516172</v>
      </c>
      <c r="R336" s="9">
        <v>0.55555555555555558</v>
      </c>
      <c r="S336" s="9">
        <v>0.41127827273523349</v>
      </c>
    </row>
    <row r="337" spans="1:19" ht="15.6" x14ac:dyDescent="0.3">
      <c r="A337" s="1" t="s">
        <v>41</v>
      </c>
      <c r="B337" s="2" t="s">
        <v>94</v>
      </c>
      <c r="C337" s="1">
        <v>2023</v>
      </c>
      <c r="D337" s="4" t="s">
        <v>162</v>
      </c>
      <c r="E337" s="5">
        <v>74.900000000000006</v>
      </c>
      <c r="F337" s="5">
        <v>68.3</v>
      </c>
      <c r="G337" s="5">
        <v>79.599999999999994</v>
      </c>
      <c r="H337" s="5">
        <v>76</v>
      </c>
      <c r="I337">
        <v>0.7</v>
      </c>
      <c r="J337" s="1">
        <v>0.5</v>
      </c>
      <c r="K337" s="1">
        <v>0.2</v>
      </c>
      <c r="L337" s="9">
        <v>1.33</v>
      </c>
      <c r="M337" s="9">
        <v>6.34</v>
      </c>
      <c r="N337" s="9">
        <v>9.5500000000000007</v>
      </c>
      <c r="O337" s="9">
        <f>LN(399.71)</f>
        <v>5.9907392841683871</v>
      </c>
      <c r="P337" s="12">
        <v>2.5</v>
      </c>
      <c r="Q337" s="9">
        <v>15.13929607010113</v>
      </c>
      <c r="R337" s="9">
        <v>0.55555555555555558</v>
      </c>
      <c r="S337" s="9">
        <v>0.33621503404150344</v>
      </c>
    </row>
    <row r="338" spans="1:19" ht="15.6" x14ac:dyDescent="0.3">
      <c r="A338" s="13" t="s">
        <v>42</v>
      </c>
      <c r="B338" s="2" t="s">
        <v>95</v>
      </c>
      <c r="C338" s="1">
        <v>2016</v>
      </c>
      <c r="D338" s="4" t="s">
        <v>161</v>
      </c>
      <c r="E338" s="5"/>
      <c r="F338" s="5"/>
      <c r="G338" s="5"/>
      <c r="H338" s="5"/>
      <c r="I338">
        <v>0.9</v>
      </c>
      <c r="J338" s="1">
        <v>0.5</v>
      </c>
      <c r="K338" s="1">
        <v>0.4</v>
      </c>
      <c r="L338" s="9">
        <v>0.46</v>
      </c>
      <c r="M338" s="9">
        <v>4.74</v>
      </c>
      <c r="N338" s="9">
        <v>6.74</v>
      </c>
      <c r="O338" s="9">
        <f>LN(301.26)</f>
        <v>5.7079736792746694</v>
      </c>
      <c r="P338" s="12">
        <v>2.1</v>
      </c>
      <c r="Q338" s="9">
        <v>15.550821008730793</v>
      </c>
      <c r="R338" s="9">
        <v>0.375</v>
      </c>
      <c r="S338" s="9">
        <v>0.29786932379280961</v>
      </c>
    </row>
    <row r="339" spans="1:19" ht="15.6" x14ac:dyDescent="0.3">
      <c r="A339" s="1" t="s">
        <v>42</v>
      </c>
      <c r="B339" s="2" t="s">
        <v>95</v>
      </c>
      <c r="C339" s="1">
        <v>2017</v>
      </c>
      <c r="D339" s="4" t="s">
        <v>161</v>
      </c>
      <c r="E339" s="5"/>
      <c r="F339" s="5"/>
      <c r="G339" s="5"/>
      <c r="H339" s="5"/>
      <c r="I339">
        <v>1.3</v>
      </c>
      <c r="J339" s="1">
        <v>0.5</v>
      </c>
      <c r="K339" s="1">
        <v>0.8</v>
      </c>
      <c r="L339" s="9">
        <v>0.36</v>
      </c>
      <c r="M339" s="9">
        <v>2.74</v>
      </c>
      <c r="N339" s="9">
        <v>4.9800000000000004</v>
      </c>
      <c r="O339" s="9">
        <f>LN(319.11)</f>
        <v>5.7655358709316831</v>
      </c>
      <c r="P339" s="9">
        <v>3.9</v>
      </c>
      <c r="Q339" s="9">
        <v>15.8736432961338</v>
      </c>
      <c r="R339" s="9">
        <v>0.375</v>
      </c>
      <c r="S339" s="9">
        <v>0.45019870818926994</v>
      </c>
    </row>
    <row r="340" spans="1:19" ht="15.6" x14ac:dyDescent="0.3">
      <c r="A340" s="1" t="s">
        <v>42</v>
      </c>
      <c r="B340" s="2" t="s">
        <v>95</v>
      </c>
      <c r="C340" s="1">
        <v>2018</v>
      </c>
      <c r="D340" s="4" t="s">
        <v>161</v>
      </c>
      <c r="E340" s="5"/>
      <c r="F340" s="5"/>
      <c r="G340" s="5"/>
      <c r="H340" s="5"/>
      <c r="I340">
        <v>1.3</v>
      </c>
      <c r="J340" s="1">
        <v>0.5</v>
      </c>
      <c r="K340" s="1">
        <v>0.8</v>
      </c>
      <c r="L340" s="9">
        <v>0.27</v>
      </c>
      <c r="M340" s="9">
        <v>2.2999999999999998</v>
      </c>
      <c r="N340" s="9">
        <v>4.08</v>
      </c>
      <c r="O340" s="9">
        <f>LN(358.79)</f>
        <v>5.8827372591162019</v>
      </c>
      <c r="P340" s="9">
        <v>0.9</v>
      </c>
      <c r="Q340" s="9">
        <v>15.907594348586914</v>
      </c>
      <c r="R340" s="9">
        <v>0.375</v>
      </c>
      <c r="S340" s="9">
        <v>0.43530742626928898</v>
      </c>
    </row>
    <row r="341" spans="1:19" ht="15.6" x14ac:dyDescent="0.3">
      <c r="A341" s="1" t="s">
        <v>42</v>
      </c>
      <c r="B341" s="2" t="s">
        <v>95</v>
      </c>
      <c r="C341" s="1">
        <v>2019</v>
      </c>
      <c r="D341" s="4" t="s">
        <v>161</v>
      </c>
      <c r="E341" s="5"/>
      <c r="F341" s="5"/>
      <c r="G341" s="5"/>
      <c r="H341" s="5"/>
      <c r="I341">
        <v>1.3</v>
      </c>
      <c r="J341" s="1">
        <v>0.5</v>
      </c>
      <c r="K341" s="1">
        <v>0.8</v>
      </c>
      <c r="L341" s="9">
        <v>0.23</v>
      </c>
      <c r="M341" s="9">
        <v>2.02</v>
      </c>
      <c r="N341" s="9">
        <v>3.48</v>
      </c>
      <c r="O341" s="9">
        <f>LN(365.18)</f>
        <v>5.9003903827085873</v>
      </c>
      <c r="P341" s="12">
        <v>0.7</v>
      </c>
      <c r="Q341" s="9">
        <v>15.882293947198908</v>
      </c>
      <c r="R341" s="9">
        <v>0.375</v>
      </c>
      <c r="S341" s="9">
        <v>0.419497344915856</v>
      </c>
    </row>
    <row r="342" spans="1:19" ht="15.6" x14ac:dyDescent="0.3">
      <c r="A342" s="1" t="s">
        <v>42</v>
      </c>
      <c r="B342" s="2" t="s">
        <v>95</v>
      </c>
      <c r="C342" s="1">
        <v>2020</v>
      </c>
      <c r="D342" s="4" t="s">
        <v>161</v>
      </c>
      <c r="E342" s="5"/>
      <c r="F342" s="5"/>
      <c r="G342" s="5"/>
      <c r="H342" s="5"/>
      <c r="I342">
        <v>1.3</v>
      </c>
      <c r="J342" s="1">
        <v>0.5</v>
      </c>
      <c r="K342" s="1">
        <v>0.8</v>
      </c>
      <c r="L342" s="9">
        <v>0.17</v>
      </c>
      <c r="M342" s="9">
        <v>1.54</v>
      </c>
      <c r="N342" s="9">
        <v>2.67</v>
      </c>
      <c r="O342" s="9">
        <f>LN(337.46)</f>
        <v>5.8214469847701915</v>
      </c>
      <c r="P342" s="12">
        <v>-0.1</v>
      </c>
      <c r="Q342" s="9">
        <v>15.848438155419357</v>
      </c>
      <c r="R342" s="9">
        <v>0.375</v>
      </c>
      <c r="S342" s="9">
        <v>0.42058152980261665</v>
      </c>
    </row>
    <row r="343" spans="1:19" ht="15.6" x14ac:dyDescent="0.3">
      <c r="A343" s="1" t="s">
        <v>42</v>
      </c>
      <c r="B343" s="2" t="s">
        <v>95</v>
      </c>
      <c r="C343" s="1">
        <v>2021</v>
      </c>
      <c r="D343" s="4" t="s">
        <v>161</v>
      </c>
      <c r="E343" s="5"/>
      <c r="F343" s="5"/>
      <c r="G343" s="5"/>
      <c r="H343" s="5"/>
      <c r="I343">
        <v>2</v>
      </c>
      <c r="J343" s="1">
        <v>1</v>
      </c>
      <c r="K343" s="1">
        <v>1</v>
      </c>
      <c r="L343" s="9">
        <v>0.18</v>
      </c>
      <c r="M343" s="9">
        <v>1.98</v>
      </c>
      <c r="N343" s="9">
        <v>3.35</v>
      </c>
      <c r="O343" s="9">
        <f>LN(373.78)</f>
        <v>5.9236673890421567</v>
      </c>
      <c r="P343" s="12">
        <v>2.5</v>
      </c>
      <c r="Q343" s="9">
        <v>15.900919260673716</v>
      </c>
      <c r="R343" s="9">
        <v>0.375</v>
      </c>
      <c r="S343" s="9">
        <v>0.41020057456125092</v>
      </c>
    </row>
    <row r="344" spans="1:19" ht="15.6" x14ac:dyDescent="0.3">
      <c r="A344" s="1" t="s">
        <v>42</v>
      </c>
      <c r="B344" s="2" t="s">
        <v>95</v>
      </c>
      <c r="C344" s="1">
        <v>2022</v>
      </c>
      <c r="D344" s="4" t="s">
        <v>161</v>
      </c>
      <c r="E344" s="5">
        <v>34.9</v>
      </c>
      <c r="F344" s="5">
        <v>19.7</v>
      </c>
      <c r="G344" s="5">
        <v>24.5</v>
      </c>
      <c r="H344" s="5">
        <v>58.7</v>
      </c>
      <c r="I344">
        <v>2</v>
      </c>
      <c r="J344" s="1">
        <v>1</v>
      </c>
      <c r="K344" s="1">
        <v>1</v>
      </c>
      <c r="L344" s="9">
        <v>0.14000000000000001</v>
      </c>
      <c r="M344" s="9">
        <v>1.74</v>
      </c>
      <c r="N344" s="9">
        <v>3.33</v>
      </c>
      <c r="O344" s="9">
        <f>LN(407.61)</f>
        <v>6.0103108349043417</v>
      </c>
      <c r="P344" s="12">
        <v>3.4</v>
      </c>
      <c r="Q344" s="9">
        <v>16.008992139021657</v>
      </c>
      <c r="R344" s="9">
        <v>0.375</v>
      </c>
      <c r="S344" s="9">
        <v>0.47823145047675897</v>
      </c>
    </row>
    <row r="345" spans="1:19" ht="15.6" x14ac:dyDescent="0.3">
      <c r="A345" s="1" t="s">
        <v>42</v>
      </c>
      <c r="B345" s="2" t="s">
        <v>95</v>
      </c>
      <c r="C345" s="1">
        <v>2023</v>
      </c>
      <c r="D345" s="4" t="s">
        <v>161</v>
      </c>
      <c r="E345" s="5"/>
      <c r="F345" s="5"/>
      <c r="G345" s="5"/>
      <c r="H345" s="5"/>
      <c r="I345">
        <v>2</v>
      </c>
      <c r="J345" s="1">
        <v>1</v>
      </c>
      <c r="K345" s="1">
        <v>1</v>
      </c>
      <c r="L345" s="9">
        <v>0.14000000000000001</v>
      </c>
      <c r="M345" s="9">
        <v>3.27</v>
      </c>
      <c r="N345" s="9">
        <v>6.21</v>
      </c>
      <c r="O345" s="9">
        <f>LN(399.71)</f>
        <v>5.9907392841683871</v>
      </c>
      <c r="P345" s="12">
        <v>2.5</v>
      </c>
      <c r="Q345" s="9">
        <v>16.024844519857513</v>
      </c>
      <c r="R345" s="9">
        <v>0.625</v>
      </c>
      <c r="S345" s="9">
        <v>0.47352339777820152</v>
      </c>
    </row>
    <row r="346" spans="1:19" ht="15.6" x14ac:dyDescent="0.3">
      <c r="A346" s="13" t="s">
        <v>43</v>
      </c>
      <c r="B346" s="2" t="s">
        <v>96</v>
      </c>
      <c r="C346" s="1">
        <v>2016</v>
      </c>
      <c r="D346" s="4" t="s">
        <v>166</v>
      </c>
      <c r="E346" s="5"/>
      <c r="F346" s="5"/>
      <c r="G346" s="5"/>
      <c r="H346" s="5"/>
      <c r="I346">
        <v>0.9</v>
      </c>
      <c r="J346" s="1">
        <v>0.5</v>
      </c>
      <c r="K346" s="1">
        <v>0.4</v>
      </c>
      <c r="L346" s="9"/>
      <c r="M346" s="9"/>
      <c r="N346" s="9"/>
      <c r="O346" s="9">
        <f>LN(301.26)</f>
        <v>5.7079736792746694</v>
      </c>
      <c r="P346" s="12">
        <v>2.1</v>
      </c>
      <c r="Q346" s="9"/>
      <c r="R346" s="9"/>
      <c r="S346" s="9"/>
    </row>
    <row r="347" spans="1:19" ht="15.6" x14ac:dyDescent="0.3">
      <c r="A347" s="13" t="s">
        <v>43</v>
      </c>
      <c r="B347" s="2" t="s">
        <v>96</v>
      </c>
      <c r="C347" s="1">
        <v>2017</v>
      </c>
      <c r="D347" s="4" t="s">
        <v>166</v>
      </c>
      <c r="E347" s="5"/>
      <c r="F347" s="5"/>
      <c r="G347" s="5"/>
      <c r="H347" s="5"/>
      <c r="I347">
        <v>0.9</v>
      </c>
      <c r="J347" s="1">
        <v>0.5</v>
      </c>
      <c r="K347" s="1">
        <v>0.4</v>
      </c>
      <c r="L347" s="9"/>
      <c r="M347" s="9"/>
      <c r="N347" s="9"/>
      <c r="O347" s="9">
        <f>LN(319.11)</f>
        <v>5.7655358709316831</v>
      </c>
      <c r="P347" s="9">
        <v>3.9</v>
      </c>
      <c r="Q347" s="9"/>
      <c r="R347" s="9"/>
      <c r="S347" s="9"/>
    </row>
    <row r="348" spans="1:19" ht="15.6" x14ac:dyDescent="0.3">
      <c r="A348" s="13" t="s">
        <v>43</v>
      </c>
      <c r="B348" s="2" t="s">
        <v>96</v>
      </c>
      <c r="C348" s="1">
        <v>2018</v>
      </c>
      <c r="D348" s="4" t="s">
        <v>166</v>
      </c>
      <c r="E348" s="5"/>
      <c r="F348" s="5"/>
      <c r="G348" s="5"/>
      <c r="H348" s="5"/>
      <c r="I348">
        <v>0.9</v>
      </c>
      <c r="J348" s="1">
        <v>0.5</v>
      </c>
      <c r="K348" s="1">
        <v>0.4</v>
      </c>
      <c r="L348" s="9"/>
      <c r="M348" s="9"/>
      <c r="N348" s="9"/>
      <c r="O348" s="9">
        <f>LN(358.79)</f>
        <v>5.8827372591162019</v>
      </c>
      <c r="P348" s="9">
        <v>0.9</v>
      </c>
      <c r="Q348" s="9"/>
      <c r="R348" s="9"/>
      <c r="S348" s="9"/>
    </row>
    <row r="349" spans="1:19" ht="15.6" x14ac:dyDescent="0.3">
      <c r="A349" s="13" t="s">
        <v>43</v>
      </c>
      <c r="B349" s="2" t="s">
        <v>96</v>
      </c>
      <c r="C349" s="1">
        <v>2019</v>
      </c>
      <c r="D349" s="4" t="s">
        <v>166</v>
      </c>
      <c r="E349" s="5"/>
      <c r="F349" s="5"/>
      <c r="G349" s="5"/>
      <c r="H349" s="5"/>
      <c r="I349">
        <v>0.4</v>
      </c>
      <c r="J349" s="1">
        <v>0</v>
      </c>
      <c r="K349" s="1">
        <v>0.4</v>
      </c>
      <c r="L349" s="9"/>
      <c r="M349" s="9">
        <v>2.21</v>
      </c>
      <c r="N349" s="9">
        <v>8.84</v>
      </c>
      <c r="O349" s="9">
        <f>LN(365.18)</f>
        <v>5.9003903827085873</v>
      </c>
      <c r="P349" s="12">
        <v>0.7</v>
      </c>
      <c r="Q349" s="9">
        <v>9.7611748597614092</v>
      </c>
      <c r="R349" s="9"/>
      <c r="S349" s="9">
        <v>0.74981264772006684</v>
      </c>
    </row>
    <row r="350" spans="1:19" ht="15.6" x14ac:dyDescent="0.3">
      <c r="A350" s="13" t="s">
        <v>43</v>
      </c>
      <c r="B350" s="2" t="s">
        <v>96</v>
      </c>
      <c r="C350" s="1">
        <v>2020</v>
      </c>
      <c r="D350" s="4" t="s">
        <v>166</v>
      </c>
      <c r="E350" s="5"/>
      <c r="F350" s="5"/>
      <c r="G350" s="5"/>
      <c r="H350" s="5"/>
      <c r="I350">
        <v>0.2</v>
      </c>
      <c r="J350" s="1">
        <v>0</v>
      </c>
      <c r="K350" s="1">
        <v>0.2</v>
      </c>
      <c r="L350" s="9"/>
      <c r="M350" s="9">
        <v>16.62</v>
      </c>
      <c r="N350" s="9">
        <v>84.19</v>
      </c>
      <c r="O350" s="9">
        <f>LN(337.46)</f>
        <v>5.8214469847701915</v>
      </c>
      <c r="P350" s="12">
        <v>-0.1</v>
      </c>
      <c r="Q350" s="9">
        <v>9.8294641921873414</v>
      </c>
      <c r="R350" s="9"/>
      <c r="S350" s="9">
        <v>0.80267054326172405</v>
      </c>
    </row>
    <row r="351" spans="1:19" ht="15.6" x14ac:dyDescent="0.3">
      <c r="A351" s="13" t="s">
        <v>43</v>
      </c>
      <c r="B351" s="2" t="s">
        <v>96</v>
      </c>
      <c r="C351" s="1">
        <v>2021</v>
      </c>
      <c r="D351" s="4" t="s">
        <v>166</v>
      </c>
      <c r="E351" s="5">
        <v>37.4</v>
      </c>
      <c r="F351" s="5">
        <v>19.100000000000001</v>
      </c>
      <c r="G351" s="5">
        <v>49.9</v>
      </c>
      <c r="H351" s="5">
        <v>29.6</v>
      </c>
      <c r="I351">
        <v>0.9</v>
      </c>
      <c r="J351" s="1">
        <v>0.5</v>
      </c>
      <c r="K351" s="1">
        <v>0.4</v>
      </c>
      <c r="L351" s="9"/>
      <c r="M351" s="9">
        <v>17.920000000000002</v>
      </c>
      <c r="N351" s="9">
        <v>54.22</v>
      </c>
      <c r="O351" s="9">
        <f>LN(373.78)</f>
        <v>5.9236673890421567</v>
      </c>
      <c r="P351" s="12">
        <v>2.5</v>
      </c>
      <c r="Q351" s="9">
        <v>10.572879805741458</v>
      </c>
      <c r="R351" s="9"/>
      <c r="S351" s="9">
        <v>0.66944010650008956</v>
      </c>
    </row>
    <row r="352" spans="1:19" ht="15.6" x14ac:dyDescent="0.3">
      <c r="A352" s="13" t="s">
        <v>43</v>
      </c>
      <c r="B352" s="2" t="s">
        <v>96</v>
      </c>
      <c r="C352" s="1">
        <v>2022</v>
      </c>
      <c r="D352" s="4" t="s">
        <v>166</v>
      </c>
      <c r="E352" s="5">
        <v>39.5</v>
      </c>
      <c r="F352" s="5">
        <v>26.7</v>
      </c>
      <c r="G352" s="5">
        <v>51.7</v>
      </c>
      <c r="H352" s="5">
        <v>29.2</v>
      </c>
      <c r="I352">
        <v>1.1000000000000001</v>
      </c>
      <c r="J352" s="1">
        <v>0.5</v>
      </c>
      <c r="K352" s="1">
        <v>0.6</v>
      </c>
      <c r="L352" s="9">
        <v>3.73</v>
      </c>
      <c r="M352" s="9">
        <v>10.36</v>
      </c>
      <c r="N352" s="9">
        <v>14.2</v>
      </c>
      <c r="O352" s="9">
        <f>LN(407.61)</f>
        <v>6.0103108349043417</v>
      </c>
      <c r="P352" s="12">
        <v>3.4</v>
      </c>
      <c r="Q352" s="9">
        <v>11.394209494265244</v>
      </c>
      <c r="R352" s="9">
        <v>0.44400000000000001</v>
      </c>
      <c r="S352" s="9">
        <v>0.27067990901515665</v>
      </c>
    </row>
    <row r="353" spans="1:19" ht="15.6" x14ac:dyDescent="0.3">
      <c r="A353" s="13" t="s">
        <v>43</v>
      </c>
      <c r="B353" s="2" t="s">
        <v>96</v>
      </c>
      <c r="C353" s="1">
        <v>2023</v>
      </c>
      <c r="D353" s="4" t="s">
        <v>166</v>
      </c>
      <c r="E353" s="5">
        <v>37.4</v>
      </c>
      <c r="F353" s="5">
        <v>19.100000000000001</v>
      </c>
      <c r="G353" s="5">
        <v>49.9</v>
      </c>
      <c r="H353" s="5">
        <v>29.6</v>
      </c>
      <c r="I353">
        <v>1.1000000000000001</v>
      </c>
      <c r="J353" s="1">
        <v>0.5</v>
      </c>
      <c r="K353" s="1">
        <v>0.6</v>
      </c>
      <c r="L353" s="9">
        <v>4.2</v>
      </c>
      <c r="M353" s="9">
        <v>14.45</v>
      </c>
      <c r="N353" s="9">
        <v>18.399999999999999</v>
      </c>
      <c r="O353" s="9">
        <f>LN(399.71)</f>
        <v>5.9907392841683871</v>
      </c>
      <c r="P353" s="12">
        <v>2.5</v>
      </c>
      <c r="Q353" s="9">
        <v>11.465749996477799</v>
      </c>
      <c r="R353" s="9">
        <v>0.36399999999999999</v>
      </c>
      <c r="S353" s="9">
        <v>0.21458822542770883</v>
      </c>
    </row>
    <row r="354" spans="1:19" ht="15.6" x14ac:dyDescent="0.3">
      <c r="A354" s="13" t="s">
        <v>44</v>
      </c>
      <c r="B354" s="2" t="s">
        <v>97</v>
      </c>
      <c r="C354" s="1">
        <v>2016</v>
      </c>
      <c r="D354" s="4" t="s">
        <v>166</v>
      </c>
      <c r="E354" s="5"/>
      <c r="F354" s="5"/>
      <c r="G354" s="5"/>
      <c r="H354" s="5"/>
      <c r="I354">
        <v>0.6</v>
      </c>
      <c r="J354" s="1">
        <v>0</v>
      </c>
      <c r="K354" s="1">
        <v>0.6</v>
      </c>
      <c r="L354" s="9">
        <v>2.72</v>
      </c>
      <c r="M354" s="9">
        <v>10.77</v>
      </c>
      <c r="N354" s="9">
        <v>15.55</v>
      </c>
      <c r="O354" s="9">
        <f>LN(301.26)</f>
        <v>5.7079736792746694</v>
      </c>
      <c r="P354" s="12">
        <v>2.1</v>
      </c>
      <c r="Q354" s="9">
        <v>12.7540321912298</v>
      </c>
      <c r="R354" s="9">
        <v>0.25</v>
      </c>
      <c r="S354" s="9">
        <v>0.30782149712092133</v>
      </c>
    </row>
    <row r="355" spans="1:19" ht="15.6" x14ac:dyDescent="0.3">
      <c r="A355" s="13" t="s">
        <v>44</v>
      </c>
      <c r="B355" s="2" t="s">
        <v>97</v>
      </c>
      <c r="C355" s="1">
        <v>2017</v>
      </c>
      <c r="D355" s="4" t="s">
        <v>166</v>
      </c>
      <c r="E355" s="5"/>
      <c r="F355" s="5"/>
      <c r="G355" s="5"/>
      <c r="H355" s="5"/>
      <c r="I355">
        <v>0.6</v>
      </c>
      <c r="J355" s="1">
        <v>0</v>
      </c>
      <c r="K355" s="1">
        <v>0.6</v>
      </c>
      <c r="L355" s="9">
        <v>2.78</v>
      </c>
      <c r="M355" s="9">
        <v>9.76</v>
      </c>
      <c r="N355" s="9">
        <v>15.45</v>
      </c>
      <c r="O355" s="9">
        <f>LN(319.11)</f>
        <v>5.7655358709316831</v>
      </c>
      <c r="P355" s="9">
        <v>3.9</v>
      </c>
      <c r="Q355" s="9">
        <v>13.037130055101803</v>
      </c>
      <c r="R355" s="9">
        <v>0.4</v>
      </c>
      <c r="S355" s="9">
        <v>0.36824211748256014</v>
      </c>
    </row>
    <row r="356" spans="1:19" ht="15.6" x14ac:dyDescent="0.3">
      <c r="A356" s="13" t="s">
        <v>44</v>
      </c>
      <c r="B356" s="2" t="s">
        <v>97</v>
      </c>
      <c r="C356" s="1">
        <v>2018</v>
      </c>
      <c r="D356" s="4" t="s">
        <v>166</v>
      </c>
      <c r="E356" s="5"/>
      <c r="F356" s="5"/>
      <c r="G356" s="5"/>
      <c r="H356" s="5"/>
      <c r="I356">
        <v>1.1000000000000001</v>
      </c>
      <c r="J356" s="1">
        <v>0.5</v>
      </c>
      <c r="K356" s="1">
        <v>0.6</v>
      </c>
      <c r="L356" s="9">
        <v>2.58</v>
      </c>
      <c r="M356" s="9">
        <v>9.3000000000000007</v>
      </c>
      <c r="N356" s="9">
        <v>14.88</v>
      </c>
      <c r="O356" s="9">
        <f>LN(358.79)</f>
        <v>5.8827372591162019</v>
      </c>
      <c r="P356" s="9">
        <v>0.9</v>
      </c>
      <c r="Q356" s="9">
        <v>13.159819072290427</v>
      </c>
      <c r="R356" s="9">
        <v>0.4</v>
      </c>
      <c r="S356" s="9">
        <v>0.37512498001283034</v>
      </c>
    </row>
    <row r="357" spans="1:19" ht="15.6" x14ac:dyDescent="0.3">
      <c r="A357" s="13" t="s">
        <v>44</v>
      </c>
      <c r="B357" s="2" t="s">
        <v>97</v>
      </c>
      <c r="C357" s="1">
        <v>2019</v>
      </c>
      <c r="D357" s="4" t="s">
        <v>166</v>
      </c>
      <c r="E357" s="5"/>
      <c r="F357" s="5"/>
      <c r="G357" s="5"/>
      <c r="H357" s="5"/>
      <c r="I357">
        <v>1.3</v>
      </c>
      <c r="J357" s="1">
        <v>0.5</v>
      </c>
      <c r="K357" s="1">
        <v>0.8</v>
      </c>
      <c r="L357" s="9">
        <v>2.2400000000000002</v>
      </c>
      <c r="M357" s="9">
        <v>9.4499999999999993</v>
      </c>
      <c r="N357" s="9">
        <v>15.48</v>
      </c>
      <c r="O357" s="9">
        <f>LN(365.18)</f>
        <v>5.9003903827085873</v>
      </c>
      <c r="P357" s="12">
        <v>0.7</v>
      </c>
      <c r="Q357" s="9">
        <v>13.27229603099628</v>
      </c>
      <c r="R357" s="9">
        <v>0.4</v>
      </c>
      <c r="S357" s="9">
        <v>0.38962570453692513</v>
      </c>
    </row>
    <row r="358" spans="1:19" ht="15.6" x14ac:dyDescent="0.3">
      <c r="A358" s="13" t="s">
        <v>44</v>
      </c>
      <c r="B358" s="2" t="s">
        <v>97</v>
      </c>
      <c r="C358" s="1">
        <v>2020</v>
      </c>
      <c r="D358" s="4" t="s">
        <v>166</v>
      </c>
      <c r="E358" s="5"/>
      <c r="F358" s="5"/>
      <c r="G358" s="5"/>
      <c r="H358" s="5"/>
      <c r="I358">
        <v>1.8</v>
      </c>
      <c r="J358" s="1">
        <v>1</v>
      </c>
      <c r="K358" s="1">
        <v>0.8</v>
      </c>
      <c r="L358" s="9">
        <v>3.17</v>
      </c>
      <c r="M358" s="9">
        <v>29.9</v>
      </c>
      <c r="N358" s="9">
        <v>45.03</v>
      </c>
      <c r="O358" s="9">
        <f>LN(337.46)</f>
        <v>5.8214469847701915</v>
      </c>
      <c r="P358" s="12">
        <v>-0.1</v>
      </c>
      <c r="Q358" s="9">
        <v>13.716298877193326</v>
      </c>
      <c r="R358" s="9">
        <v>0.4</v>
      </c>
      <c r="S358" s="9">
        <v>0.33592254881282224</v>
      </c>
    </row>
    <row r="359" spans="1:19" ht="15.6" x14ac:dyDescent="0.3">
      <c r="A359" s="13" t="s">
        <v>44</v>
      </c>
      <c r="B359" s="2" t="s">
        <v>97</v>
      </c>
      <c r="C359" s="1">
        <v>2021</v>
      </c>
      <c r="D359" s="4" t="s">
        <v>166</v>
      </c>
      <c r="E359" s="5">
        <v>71.2</v>
      </c>
      <c r="F359" s="5">
        <v>55.6</v>
      </c>
      <c r="G359" s="5">
        <v>70.900000000000006</v>
      </c>
      <c r="H359" s="5">
        <v>79.400000000000006</v>
      </c>
      <c r="I359">
        <v>1.8</v>
      </c>
      <c r="J359" s="1">
        <v>1</v>
      </c>
      <c r="K359" s="1">
        <v>0.8</v>
      </c>
      <c r="L359" s="9">
        <v>0.97</v>
      </c>
      <c r="M359" s="9">
        <v>56.18</v>
      </c>
      <c r="N359" s="9">
        <v>70.28</v>
      </c>
      <c r="O359" s="9">
        <f>LN(373.78)</f>
        <v>5.9236673890421567</v>
      </c>
      <c r="P359" s="12">
        <v>2.5</v>
      </c>
      <c r="Q359" s="9">
        <v>14.011424320777664</v>
      </c>
      <c r="R359" s="9">
        <v>0.4</v>
      </c>
      <c r="S359" s="9">
        <v>0.20068364432737981</v>
      </c>
    </row>
    <row r="360" spans="1:19" ht="15.6" x14ac:dyDescent="0.3">
      <c r="A360" s="13" t="s">
        <v>44</v>
      </c>
      <c r="B360" s="2" t="s">
        <v>97</v>
      </c>
      <c r="C360" s="1">
        <v>2022</v>
      </c>
      <c r="D360" s="4" t="s">
        <v>166</v>
      </c>
      <c r="E360" s="5">
        <v>71</v>
      </c>
      <c r="F360" s="5">
        <v>63.7</v>
      </c>
      <c r="G360" s="5">
        <v>73</v>
      </c>
      <c r="H360" s="5">
        <v>72.099999999999994</v>
      </c>
      <c r="I360">
        <v>2</v>
      </c>
      <c r="J360" s="1">
        <v>1</v>
      </c>
      <c r="K360" s="1">
        <v>1</v>
      </c>
      <c r="L360" s="9">
        <v>0.65</v>
      </c>
      <c r="M360" s="9">
        <v>3.63</v>
      </c>
      <c r="N360" s="9">
        <v>4.03</v>
      </c>
      <c r="O360" s="9">
        <f>LN(407.61)</f>
        <v>6.0103108349043417</v>
      </c>
      <c r="P360" s="12">
        <v>3.4</v>
      </c>
      <c r="Q360" s="9">
        <v>13.795864838357438</v>
      </c>
      <c r="R360" s="9">
        <v>0.5</v>
      </c>
      <c r="S360" s="9">
        <v>9.919167484238374E-2</v>
      </c>
    </row>
    <row r="361" spans="1:19" ht="15.6" x14ac:dyDescent="0.3">
      <c r="A361" s="13" t="s">
        <v>44</v>
      </c>
      <c r="B361" s="2" t="s">
        <v>97</v>
      </c>
      <c r="C361" s="1">
        <v>2023</v>
      </c>
      <c r="D361" s="4" t="s">
        <v>166</v>
      </c>
      <c r="E361" s="5">
        <v>71.2</v>
      </c>
      <c r="F361" s="5">
        <v>55.6</v>
      </c>
      <c r="G361" s="5">
        <v>70.900000000000006</v>
      </c>
      <c r="H361" s="5">
        <v>79.400000000000006</v>
      </c>
      <c r="I361">
        <v>2</v>
      </c>
      <c r="J361" s="1">
        <v>1</v>
      </c>
      <c r="K361" s="1">
        <v>1</v>
      </c>
      <c r="L361" s="9">
        <v>1.1299999999999999</v>
      </c>
      <c r="M361" s="9">
        <v>0.32</v>
      </c>
      <c r="N361" s="9">
        <v>0.35</v>
      </c>
      <c r="O361" s="9">
        <f>LN(399.71)</f>
        <v>5.9907392841683871</v>
      </c>
      <c r="P361" s="12">
        <v>2.5</v>
      </c>
      <c r="Q361" s="9">
        <v>13.726941604946285</v>
      </c>
      <c r="R361" s="9">
        <v>0.5</v>
      </c>
      <c r="S361" s="9">
        <v>8.0747126436781613E-2</v>
      </c>
    </row>
    <row r="362" spans="1:19" ht="15.6" x14ac:dyDescent="0.3">
      <c r="A362" s="13" t="s">
        <v>45</v>
      </c>
      <c r="B362" s="2" t="s">
        <v>98</v>
      </c>
      <c r="C362" s="1">
        <v>2016</v>
      </c>
      <c r="D362" s="4" t="s">
        <v>165</v>
      </c>
      <c r="E362" s="5">
        <v>39.4</v>
      </c>
      <c r="F362" s="5">
        <v>28</v>
      </c>
      <c r="G362" s="5">
        <v>34.799999999999997</v>
      </c>
      <c r="H362" s="5">
        <v>59.3</v>
      </c>
      <c r="I362">
        <v>0</v>
      </c>
      <c r="J362" s="1">
        <v>0</v>
      </c>
      <c r="K362" s="1">
        <v>0</v>
      </c>
      <c r="L362" s="9">
        <v>1.1299999999999999</v>
      </c>
      <c r="M362" s="9">
        <v>3.79</v>
      </c>
      <c r="N362" s="9">
        <v>8.86</v>
      </c>
      <c r="O362" s="9">
        <f>LN(301.26)</f>
        <v>5.7079736792746694</v>
      </c>
      <c r="P362" s="12">
        <v>2.1</v>
      </c>
      <c r="Q362" s="9">
        <v>13.68458719005625</v>
      </c>
      <c r="R362" s="9">
        <v>0.25</v>
      </c>
      <c r="S362" s="9">
        <v>0.57191448617040075</v>
      </c>
    </row>
    <row r="363" spans="1:19" ht="15.6" x14ac:dyDescent="0.3">
      <c r="A363" s="13" t="s">
        <v>45</v>
      </c>
      <c r="B363" s="2" t="s">
        <v>98</v>
      </c>
      <c r="C363" s="1">
        <v>2017</v>
      </c>
      <c r="D363" s="4" t="s">
        <v>165</v>
      </c>
      <c r="E363" s="5">
        <v>55.8</v>
      </c>
      <c r="F363" s="5">
        <v>54.3</v>
      </c>
      <c r="G363" s="5">
        <v>41.5</v>
      </c>
      <c r="H363" s="5">
        <v>78</v>
      </c>
      <c r="I363">
        <v>0</v>
      </c>
      <c r="J363" s="1">
        <v>0</v>
      </c>
      <c r="K363" s="1">
        <v>0</v>
      </c>
      <c r="L363" s="9">
        <v>0.98</v>
      </c>
      <c r="M363" s="9">
        <v>3.82</v>
      </c>
      <c r="N363" s="9">
        <v>8.92</v>
      </c>
      <c r="O363" s="9">
        <f>LN(319.11)</f>
        <v>5.7655358709316831</v>
      </c>
      <c r="P363" s="9">
        <v>3.9</v>
      </c>
      <c r="Q363" s="9">
        <v>13.856960515274618</v>
      </c>
      <c r="R363" s="9">
        <v>0.30769230769230771</v>
      </c>
      <c r="S363" s="9">
        <v>0.57126835207196247</v>
      </c>
    </row>
    <row r="364" spans="1:19" ht="15.6" x14ac:dyDescent="0.3">
      <c r="A364" s="13" t="s">
        <v>45</v>
      </c>
      <c r="B364" s="2" t="s">
        <v>98</v>
      </c>
      <c r="C364" s="1">
        <v>2018</v>
      </c>
      <c r="D364" s="4" t="s">
        <v>165</v>
      </c>
      <c r="E364" s="5">
        <v>61.3</v>
      </c>
      <c r="F364" s="5">
        <v>59.8</v>
      </c>
      <c r="G364" s="5">
        <v>52.8</v>
      </c>
      <c r="H364" s="5">
        <v>75.2</v>
      </c>
      <c r="I364">
        <v>0</v>
      </c>
      <c r="J364" s="1">
        <v>0</v>
      </c>
      <c r="K364" s="1">
        <v>0</v>
      </c>
      <c r="L364" s="9">
        <v>0.96</v>
      </c>
      <c r="M364" s="9">
        <v>3.74</v>
      </c>
      <c r="N364" s="9">
        <v>8.4</v>
      </c>
      <c r="O364" s="9">
        <f>LN(358.79)</f>
        <v>5.8827372591162019</v>
      </c>
      <c r="P364" s="9">
        <v>0.9</v>
      </c>
      <c r="Q364" s="9">
        <v>13.962305968280688</v>
      </c>
      <c r="R364" s="9">
        <v>0.33333333333333331</v>
      </c>
      <c r="S364" s="9">
        <v>0.55419184762852114</v>
      </c>
    </row>
    <row r="365" spans="1:19" ht="15.6" x14ac:dyDescent="0.3">
      <c r="A365" s="13" t="s">
        <v>45</v>
      </c>
      <c r="B365" s="2" t="s">
        <v>98</v>
      </c>
      <c r="C365" s="1">
        <v>2019</v>
      </c>
      <c r="D365" s="4" t="s">
        <v>165</v>
      </c>
      <c r="E365" s="5">
        <v>65.099999999999994</v>
      </c>
      <c r="F365" s="5">
        <v>54.8</v>
      </c>
      <c r="G365" s="5">
        <v>59.6</v>
      </c>
      <c r="H365" s="5">
        <v>84.7</v>
      </c>
      <c r="I365">
        <v>0</v>
      </c>
      <c r="J365" s="1">
        <v>0</v>
      </c>
      <c r="K365" s="1">
        <v>0</v>
      </c>
      <c r="L365" s="9">
        <v>0.7</v>
      </c>
      <c r="M365" s="9">
        <v>3.53</v>
      </c>
      <c r="N365" s="9">
        <v>10.31</v>
      </c>
      <c r="O365" s="9">
        <f>LN(365.18)</f>
        <v>5.9003903827085873</v>
      </c>
      <c r="P365" s="12">
        <v>0.7</v>
      </c>
      <c r="Q365" s="9">
        <v>14.19575221261098</v>
      </c>
      <c r="R365" s="9">
        <v>0.33333333333333331</v>
      </c>
      <c r="S365" s="9">
        <v>0.65764871417261139</v>
      </c>
    </row>
    <row r="366" spans="1:19" ht="15.6" x14ac:dyDescent="0.3">
      <c r="A366" s="13" t="s">
        <v>45</v>
      </c>
      <c r="B366" s="2" t="s">
        <v>98</v>
      </c>
      <c r="C366" s="1">
        <v>2020</v>
      </c>
      <c r="D366" s="4" t="s">
        <v>165</v>
      </c>
      <c r="E366" s="5">
        <v>64</v>
      </c>
      <c r="F366" s="5">
        <v>50.8</v>
      </c>
      <c r="G366" s="5">
        <v>59</v>
      </c>
      <c r="H366" s="5">
        <v>86.5</v>
      </c>
      <c r="I366">
        <v>0</v>
      </c>
      <c r="J366" s="1">
        <v>0</v>
      </c>
      <c r="K366" s="1">
        <v>0</v>
      </c>
      <c r="L366" s="9">
        <v>0.72</v>
      </c>
      <c r="M366" s="9">
        <v>1.8</v>
      </c>
      <c r="N366" s="9">
        <v>5.0199999999999996</v>
      </c>
      <c r="O366" s="9">
        <f>LN(337.46)</f>
        <v>5.8214469847701915</v>
      </c>
      <c r="P366" s="12">
        <v>-0.1</v>
      </c>
      <c r="Q366" s="9">
        <v>14.241029242270466</v>
      </c>
      <c r="R366" s="9">
        <v>0.375</v>
      </c>
      <c r="S366" s="9">
        <v>0.64141744816987112</v>
      </c>
    </row>
    <row r="367" spans="1:19" ht="15.6" x14ac:dyDescent="0.3">
      <c r="A367" s="13" t="s">
        <v>45</v>
      </c>
      <c r="B367" s="2" t="s">
        <v>98</v>
      </c>
      <c r="C367" s="1">
        <v>2021</v>
      </c>
      <c r="D367" s="4" t="s">
        <v>165</v>
      </c>
      <c r="E367" s="5">
        <v>58.5</v>
      </c>
      <c r="F367" s="5">
        <v>51.1</v>
      </c>
      <c r="G367" s="5">
        <v>63.1</v>
      </c>
      <c r="H367" s="5">
        <v>63.8</v>
      </c>
      <c r="I367">
        <v>0</v>
      </c>
      <c r="J367" s="1">
        <v>0</v>
      </c>
      <c r="K367" s="1">
        <v>0</v>
      </c>
      <c r="L367" s="9">
        <v>0.81</v>
      </c>
      <c r="M367" s="9">
        <v>0.89</v>
      </c>
      <c r="N367" s="9">
        <v>2.4300000000000002</v>
      </c>
      <c r="O367" s="9">
        <f>LN(373.78)</f>
        <v>5.9236673890421567</v>
      </c>
      <c r="P367" s="12">
        <v>2.5</v>
      </c>
      <c r="Q367" s="9">
        <v>14.208710758652366</v>
      </c>
      <c r="R367" s="9">
        <v>0.41176470588235292</v>
      </c>
      <c r="S367" s="9">
        <v>0.63628970483527536</v>
      </c>
    </row>
    <row r="368" spans="1:19" ht="15.6" x14ac:dyDescent="0.3">
      <c r="A368" s="13" t="s">
        <v>45</v>
      </c>
      <c r="B368" s="2" t="s">
        <v>98</v>
      </c>
      <c r="C368" s="1">
        <v>2022</v>
      </c>
      <c r="D368" s="4" t="s">
        <v>165</v>
      </c>
      <c r="E368" s="5">
        <v>69.7</v>
      </c>
      <c r="F368" s="5">
        <v>71.7</v>
      </c>
      <c r="G368" s="5">
        <v>70.900000000000006</v>
      </c>
      <c r="H368" s="5">
        <v>64.400000000000006</v>
      </c>
      <c r="I368">
        <v>0</v>
      </c>
      <c r="J368" s="1">
        <v>0</v>
      </c>
      <c r="K368" s="1">
        <v>0</v>
      </c>
      <c r="L368" s="9">
        <v>0.65</v>
      </c>
      <c r="M368" s="9">
        <v>2.2799999999999998</v>
      </c>
      <c r="N368" s="9">
        <v>6.77</v>
      </c>
      <c r="O368" s="9">
        <f>LN(407.61)</f>
        <v>6.0103108349043417</v>
      </c>
      <c r="P368" s="12">
        <v>3.4</v>
      </c>
      <c r="Q368" s="9">
        <v>14.276017990722218</v>
      </c>
      <c r="R368" s="9">
        <v>0.41176470588235292</v>
      </c>
      <c r="S368" s="9">
        <v>0.66339806597100848</v>
      </c>
    </row>
    <row r="369" spans="1:19" ht="15.6" x14ac:dyDescent="0.3">
      <c r="A369" s="13" t="s">
        <v>45</v>
      </c>
      <c r="B369" s="2" t="s">
        <v>98</v>
      </c>
      <c r="C369" s="1">
        <v>2023</v>
      </c>
      <c r="D369" s="4" t="s">
        <v>165</v>
      </c>
      <c r="E369" s="5">
        <v>58.5</v>
      </c>
      <c r="F369" s="5">
        <v>51.1</v>
      </c>
      <c r="G369" s="5">
        <v>63.1</v>
      </c>
      <c r="H369" s="5">
        <v>63.8</v>
      </c>
      <c r="I369">
        <v>2</v>
      </c>
      <c r="J369" s="1">
        <v>1</v>
      </c>
      <c r="K369" s="1">
        <v>1</v>
      </c>
      <c r="L369" s="9">
        <v>0.9</v>
      </c>
      <c r="M369" s="9">
        <v>3.64</v>
      </c>
      <c r="N369" s="9">
        <v>10.42</v>
      </c>
      <c r="O369" s="9">
        <f>LN(399.71)</f>
        <v>5.9907392841683871</v>
      </c>
      <c r="P369" s="12">
        <v>2.5</v>
      </c>
      <c r="Q369" s="9">
        <v>14.271775872245307</v>
      </c>
      <c r="R369" s="9">
        <v>0.3888888888888889</v>
      </c>
      <c r="S369" s="9">
        <v>0.6511045395011561</v>
      </c>
    </row>
    <row r="370" spans="1:19" ht="15.6" x14ac:dyDescent="0.3">
      <c r="A370" s="13" t="s">
        <v>46</v>
      </c>
      <c r="B370" s="2" t="s">
        <v>99</v>
      </c>
      <c r="C370" s="1">
        <v>2016</v>
      </c>
      <c r="D370" s="4" t="s">
        <v>162</v>
      </c>
      <c r="E370" s="5">
        <v>33.1</v>
      </c>
      <c r="F370" s="5">
        <v>31</v>
      </c>
      <c r="G370" s="5">
        <v>34.1</v>
      </c>
      <c r="H370" s="5">
        <v>35.299999999999997</v>
      </c>
      <c r="I370">
        <v>0.7</v>
      </c>
      <c r="J370" s="1">
        <v>0.5</v>
      </c>
      <c r="K370" s="1">
        <v>0.2</v>
      </c>
      <c r="L370" s="9">
        <v>1.4</v>
      </c>
      <c r="M370" s="9">
        <v>8.68</v>
      </c>
      <c r="N370" s="9">
        <v>14.11</v>
      </c>
      <c r="O370" s="9">
        <f>LN(301.26)</f>
        <v>5.7079736792746694</v>
      </c>
      <c r="P370" s="12">
        <v>2.1</v>
      </c>
      <c r="Q370" s="9">
        <v>15.302384825818928</v>
      </c>
      <c r="R370" s="9">
        <v>0.375</v>
      </c>
      <c r="S370" s="9">
        <v>0.38439829735976822</v>
      </c>
    </row>
    <row r="371" spans="1:19" ht="15.6" x14ac:dyDescent="0.3">
      <c r="A371" s="1" t="s">
        <v>46</v>
      </c>
      <c r="B371" s="2" t="s">
        <v>99</v>
      </c>
      <c r="C371" s="1">
        <v>2017</v>
      </c>
      <c r="D371" s="4" t="s">
        <v>162</v>
      </c>
      <c r="E371" s="5">
        <v>40.799999999999997</v>
      </c>
      <c r="F371" s="5">
        <v>34.5</v>
      </c>
      <c r="G371" s="5">
        <v>49.3</v>
      </c>
      <c r="H371" s="5">
        <v>37.6</v>
      </c>
      <c r="I371">
        <v>1.5</v>
      </c>
      <c r="J371" s="1">
        <v>0.5</v>
      </c>
      <c r="K371" s="1">
        <v>1</v>
      </c>
      <c r="L371" s="9">
        <v>1.34</v>
      </c>
      <c r="M371" s="9">
        <v>5.15</v>
      </c>
      <c r="N371" s="9">
        <v>8.08</v>
      </c>
      <c r="O371" s="9">
        <f>LN(319.11)</f>
        <v>5.7655358709316831</v>
      </c>
      <c r="P371" s="9">
        <v>3.9</v>
      </c>
      <c r="Q371" s="9">
        <v>15.344525090278275</v>
      </c>
      <c r="R371" s="9">
        <v>0.375</v>
      </c>
      <c r="S371" s="9">
        <v>0.36218373046114682</v>
      </c>
    </row>
    <row r="372" spans="1:19" ht="15.6" x14ac:dyDescent="0.3">
      <c r="A372" s="1" t="s">
        <v>46</v>
      </c>
      <c r="B372" s="2" t="s">
        <v>99</v>
      </c>
      <c r="C372" s="1">
        <v>2018</v>
      </c>
      <c r="D372" s="4" t="s">
        <v>162</v>
      </c>
      <c r="E372" s="5">
        <v>43.9</v>
      </c>
      <c r="F372" s="5">
        <v>46.1</v>
      </c>
      <c r="G372" s="5">
        <v>52.2</v>
      </c>
      <c r="H372" s="5">
        <v>26</v>
      </c>
      <c r="I372">
        <v>1.5</v>
      </c>
      <c r="J372" s="1">
        <v>0.5</v>
      </c>
      <c r="K372" s="1">
        <v>1</v>
      </c>
      <c r="L372" s="9">
        <v>1.41</v>
      </c>
      <c r="M372" s="9">
        <v>3.23</v>
      </c>
      <c r="N372" s="9">
        <v>5.0599999999999996</v>
      </c>
      <c r="O372" s="9">
        <f>LN(358.79)</f>
        <v>5.8827372591162019</v>
      </c>
      <c r="P372" s="9">
        <v>0.9</v>
      </c>
      <c r="Q372" s="9">
        <v>15.330980369602994</v>
      </c>
      <c r="R372" s="9">
        <v>0.375</v>
      </c>
      <c r="S372" s="9">
        <v>0.36083394722555501</v>
      </c>
    </row>
    <row r="373" spans="1:19" ht="15.6" x14ac:dyDescent="0.3">
      <c r="A373" s="1" t="s">
        <v>46</v>
      </c>
      <c r="B373" s="2" t="s">
        <v>99</v>
      </c>
      <c r="C373" s="1">
        <v>2019</v>
      </c>
      <c r="D373" s="4" t="s">
        <v>162</v>
      </c>
      <c r="E373" s="5">
        <v>46.5</v>
      </c>
      <c r="F373" s="5">
        <v>44.1</v>
      </c>
      <c r="G373" s="5">
        <v>51.2</v>
      </c>
      <c r="H373" s="5">
        <v>42.6</v>
      </c>
      <c r="I373">
        <v>1.3</v>
      </c>
      <c r="J373" s="1">
        <v>0.5</v>
      </c>
      <c r="K373" s="1">
        <v>0.8</v>
      </c>
      <c r="L373" s="9">
        <v>1.21</v>
      </c>
      <c r="M373" s="9">
        <v>3.03</v>
      </c>
      <c r="N373" s="9">
        <v>5.47</v>
      </c>
      <c r="O373" s="9">
        <f>LN(365.18)</f>
        <v>5.9003903827085873</v>
      </c>
      <c r="P373" s="12">
        <v>0.7</v>
      </c>
      <c r="Q373" s="9">
        <v>15.399029866587794</v>
      </c>
      <c r="R373" s="9">
        <v>0.375</v>
      </c>
      <c r="S373" s="9">
        <v>0.44671548367922315</v>
      </c>
    </row>
    <row r="374" spans="1:19" ht="15.6" x14ac:dyDescent="0.3">
      <c r="A374" s="1" t="s">
        <v>46</v>
      </c>
      <c r="B374" s="2" t="s">
        <v>99</v>
      </c>
      <c r="C374" s="1">
        <v>2020</v>
      </c>
      <c r="D374" s="4" t="s">
        <v>162</v>
      </c>
      <c r="E374" s="5">
        <v>49.6</v>
      </c>
      <c r="F374" s="5">
        <v>46.1</v>
      </c>
      <c r="G374" s="5">
        <v>52.5</v>
      </c>
      <c r="H374" s="5">
        <v>50.7</v>
      </c>
      <c r="I374">
        <v>1.5</v>
      </c>
      <c r="J374" s="1">
        <v>0.5</v>
      </c>
      <c r="K374" s="1">
        <v>1</v>
      </c>
      <c r="L374" s="9">
        <v>1.18</v>
      </c>
      <c r="M374" s="9">
        <v>3.69</v>
      </c>
      <c r="N374" s="9">
        <v>6.55</v>
      </c>
      <c r="O374" s="9">
        <f>LN(337.46)</f>
        <v>5.8214469847701915</v>
      </c>
      <c r="P374" s="12">
        <v>-0.1</v>
      </c>
      <c r="Q374" s="9">
        <v>15.432318048228797</v>
      </c>
      <c r="R374" s="9">
        <v>0.375</v>
      </c>
      <c r="S374" s="9">
        <v>0.43645900006829486</v>
      </c>
    </row>
    <row r="375" spans="1:19" ht="15.6" x14ac:dyDescent="0.3">
      <c r="A375" s="1" t="s">
        <v>46</v>
      </c>
      <c r="B375" s="2" t="s">
        <v>99</v>
      </c>
      <c r="C375" s="1">
        <v>2021</v>
      </c>
      <c r="D375" s="4" t="s">
        <v>162</v>
      </c>
      <c r="E375" s="5">
        <v>53.4</v>
      </c>
      <c r="F375" s="5">
        <v>59.1</v>
      </c>
      <c r="G375" s="5">
        <v>63.8</v>
      </c>
      <c r="H375" s="5">
        <v>36.299999999999997</v>
      </c>
      <c r="I375">
        <v>1.3</v>
      </c>
      <c r="J375" s="1">
        <v>0.5</v>
      </c>
      <c r="K375" s="1">
        <v>0.8</v>
      </c>
      <c r="L375" s="9">
        <v>0.78</v>
      </c>
      <c r="M375" s="9">
        <v>8.0399999999999991</v>
      </c>
      <c r="N375" s="9">
        <v>15.89</v>
      </c>
      <c r="O375" s="9">
        <f>LN(373.78)</f>
        <v>5.9236673890421567</v>
      </c>
      <c r="P375" s="12">
        <v>2.5</v>
      </c>
      <c r="Q375" s="9">
        <v>15.718253404890421</v>
      </c>
      <c r="R375" s="9">
        <v>0.375</v>
      </c>
      <c r="S375" s="9">
        <v>0.49400500398403524</v>
      </c>
    </row>
    <row r="376" spans="1:19" ht="15.6" x14ac:dyDescent="0.3">
      <c r="A376" s="1" t="s">
        <v>46</v>
      </c>
      <c r="B376" s="2" t="s">
        <v>99</v>
      </c>
      <c r="C376" s="1">
        <v>2022</v>
      </c>
      <c r="D376" s="4" t="s">
        <v>162</v>
      </c>
      <c r="E376" s="5">
        <v>56.5</v>
      </c>
      <c r="F376" s="5">
        <v>68.3</v>
      </c>
      <c r="G376" s="5">
        <v>65.5</v>
      </c>
      <c r="H376" s="5">
        <v>35.299999999999997</v>
      </c>
      <c r="I376">
        <v>1.5</v>
      </c>
      <c r="J376" s="1">
        <v>0.5</v>
      </c>
      <c r="K376" s="1">
        <v>1</v>
      </c>
      <c r="L376" s="9">
        <v>0.74</v>
      </c>
      <c r="M376" s="9">
        <v>7.16</v>
      </c>
      <c r="N376" s="9">
        <v>13.5</v>
      </c>
      <c r="O376" s="9">
        <f>LN(407.61)</f>
        <v>6.0103108349043417</v>
      </c>
      <c r="P376" s="12">
        <v>3.4</v>
      </c>
      <c r="Q376" s="9">
        <v>15.689697427685937</v>
      </c>
      <c r="R376" s="9">
        <v>0.375</v>
      </c>
      <c r="S376" s="9">
        <v>0.46915986278299548</v>
      </c>
    </row>
    <row r="377" spans="1:19" ht="15.6" x14ac:dyDescent="0.3">
      <c r="A377" s="1" t="s">
        <v>46</v>
      </c>
      <c r="B377" s="2" t="s">
        <v>99</v>
      </c>
      <c r="C377" s="1">
        <v>2023</v>
      </c>
      <c r="D377" s="4" t="s">
        <v>162</v>
      </c>
      <c r="E377" s="5">
        <v>53.4</v>
      </c>
      <c r="F377" s="5">
        <v>59.1</v>
      </c>
      <c r="G377" s="5">
        <v>63.8</v>
      </c>
      <c r="H377" s="5">
        <v>36.299999999999997</v>
      </c>
      <c r="I377">
        <v>2</v>
      </c>
      <c r="J377" s="1">
        <v>1</v>
      </c>
      <c r="K377" s="1">
        <v>1</v>
      </c>
      <c r="L377" s="9">
        <v>0.77</v>
      </c>
      <c r="M377" s="9">
        <v>2.77</v>
      </c>
      <c r="N377" s="9">
        <v>5.17</v>
      </c>
      <c r="O377" s="9">
        <f>LN(399.71)</f>
        <v>5.9907392841683871</v>
      </c>
      <c r="P377" s="12">
        <v>2.5</v>
      </c>
      <c r="Q377" s="9">
        <v>15.675479458536847</v>
      </c>
      <c r="R377" s="9">
        <v>0.44444444444444442</v>
      </c>
      <c r="S377" s="9">
        <v>0.46413229969719177</v>
      </c>
    </row>
    <row r="378" spans="1:19" ht="15.6" x14ac:dyDescent="0.3">
      <c r="A378" s="13" t="s">
        <v>47</v>
      </c>
      <c r="B378" s="2" t="s">
        <v>100</v>
      </c>
      <c r="C378" s="1">
        <v>2016</v>
      </c>
      <c r="D378" s="4" t="s">
        <v>164</v>
      </c>
      <c r="E378" s="5">
        <v>58.3</v>
      </c>
      <c r="F378" s="5">
        <v>43.8</v>
      </c>
      <c r="G378" s="5">
        <v>76.8</v>
      </c>
      <c r="H378" s="5">
        <v>46.6</v>
      </c>
      <c r="I378">
        <v>0</v>
      </c>
      <c r="J378" s="1">
        <v>0</v>
      </c>
      <c r="K378" s="1">
        <v>0</v>
      </c>
      <c r="L378" s="9">
        <v>0.55000000000000004</v>
      </c>
      <c r="M378" s="9">
        <v>5.81</v>
      </c>
      <c r="N378" s="9">
        <v>9.42</v>
      </c>
      <c r="O378" s="9">
        <f>LN(301.26)</f>
        <v>5.7079736792746694</v>
      </c>
      <c r="P378" s="12">
        <v>2.1</v>
      </c>
      <c r="Q378" s="9">
        <v>14.142343629600912</v>
      </c>
      <c r="R378" s="9">
        <v>0.375</v>
      </c>
      <c r="S378" s="9">
        <v>0.38327455519735748</v>
      </c>
    </row>
    <row r="379" spans="1:19" ht="15.6" x14ac:dyDescent="0.3">
      <c r="A379" s="13" t="s">
        <v>47</v>
      </c>
      <c r="B379" s="2" t="s">
        <v>100</v>
      </c>
      <c r="C379" s="1">
        <v>2017</v>
      </c>
      <c r="D379" s="4" t="s">
        <v>164</v>
      </c>
      <c r="E379" s="5">
        <v>55.7</v>
      </c>
      <c r="F379" s="5">
        <v>45.6</v>
      </c>
      <c r="G379" s="5">
        <v>73.2</v>
      </c>
      <c r="H379" s="5">
        <v>39.4</v>
      </c>
      <c r="I379">
        <v>0</v>
      </c>
      <c r="J379" s="1">
        <v>0</v>
      </c>
      <c r="K379" s="1">
        <v>0</v>
      </c>
      <c r="L379" s="9">
        <v>0.49</v>
      </c>
      <c r="M379" s="9">
        <v>5.07</v>
      </c>
      <c r="N379" s="9">
        <v>7.79</v>
      </c>
      <c r="O379" s="9">
        <f>LN(319.11)</f>
        <v>5.7655358709316831</v>
      </c>
      <c r="P379" s="9">
        <v>3.9</v>
      </c>
      <c r="Q379" s="9">
        <v>14.379574154005454</v>
      </c>
      <c r="R379" s="9">
        <v>0.375</v>
      </c>
      <c r="S379" s="9">
        <v>0.34909127938828116</v>
      </c>
    </row>
    <row r="380" spans="1:19" ht="15.6" x14ac:dyDescent="0.3">
      <c r="A380" s="13" t="s">
        <v>47</v>
      </c>
      <c r="B380" s="2" t="s">
        <v>100</v>
      </c>
      <c r="C380" s="1">
        <v>2018</v>
      </c>
      <c r="D380" s="4" t="s">
        <v>164</v>
      </c>
      <c r="E380" s="5">
        <v>73</v>
      </c>
      <c r="F380" s="5">
        <v>65.599999999999994</v>
      </c>
      <c r="G380" s="5">
        <v>87.8</v>
      </c>
      <c r="H380" s="5">
        <v>57.5</v>
      </c>
      <c r="I380">
        <v>0</v>
      </c>
      <c r="J380" s="1">
        <v>0</v>
      </c>
      <c r="K380" s="1">
        <v>0</v>
      </c>
      <c r="L380" s="9">
        <v>0.32</v>
      </c>
      <c r="M380" s="9">
        <v>3.93</v>
      </c>
      <c r="N380" s="9">
        <v>5.63</v>
      </c>
      <c r="O380" s="9">
        <f>LN(358.79)</f>
        <v>5.8827372591162019</v>
      </c>
      <c r="P380" s="9">
        <v>0.9</v>
      </c>
      <c r="Q380" s="9">
        <v>14.328059895282113</v>
      </c>
      <c r="R380" s="9">
        <v>0.44400000000000001</v>
      </c>
      <c r="S380" s="9">
        <v>0.30186721867434302</v>
      </c>
    </row>
    <row r="381" spans="1:19" ht="15.6" x14ac:dyDescent="0.3">
      <c r="A381" s="13" t="s">
        <v>47</v>
      </c>
      <c r="B381" s="2" t="s">
        <v>100</v>
      </c>
      <c r="C381" s="1">
        <v>2019</v>
      </c>
      <c r="D381" s="4" t="s">
        <v>164</v>
      </c>
      <c r="E381" s="5">
        <v>74.2</v>
      </c>
      <c r="F381" s="5">
        <v>64.3</v>
      </c>
      <c r="G381" s="5">
        <v>89.4</v>
      </c>
      <c r="H381" s="5">
        <v>61.8</v>
      </c>
      <c r="I381">
        <v>0</v>
      </c>
      <c r="J381" s="1">
        <v>0</v>
      </c>
      <c r="K381" s="1">
        <v>0</v>
      </c>
      <c r="L381" s="9">
        <v>0.26</v>
      </c>
      <c r="M381" s="9">
        <v>3</v>
      </c>
      <c r="N381" s="9">
        <v>4.1500000000000004</v>
      </c>
      <c r="O381" s="9">
        <f>LN(365.18)</f>
        <v>5.9003903827085873</v>
      </c>
      <c r="P381" s="12">
        <v>0.7</v>
      </c>
      <c r="Q381" s="9">
        <v>14.304847341575918</v>
      </c>
      <c r="R381" s="9">
        <v>0.44400000000000001</v>
      </c>
      <c r="S381" s="9">
        <v>0.27703811960760993</v>
      </c>
    </row>
    <row r="382" spans="1:19" ht="15.6" x14ac:dyDescent="0.3">
      <c r="A382" s="13" t="s">
        <v>47</v>
      </c>
      <c r="B382" s="2" t="s">
        <v>100</v>
      </c>
      <c r="C382" s="1">
        <v>2020</v>
      </c>
      <c r="D382" s="4" t="s">
        <v>164</v>
      </c>
      <c r="E382" s="5">
        <v>66.2</v>
      </c>
      <c r="F382" s="5">
        <v>59.8</v>
      </c>
      <c r="G382" s="5">
        <v>88</v>
      </c>
      <c r="H382" s="5">
        <v>36.9</v>
      </c>
      <c r="I382">
        <v>0</v>
      </c>
      <c r="J382" s="1">
        <v>0</v>
      </c>
      <c r="K382" s="1">
        <v>0</v>
      </c>
      <c r="L382" s="9">
        <v>0.31</v>
      </c>
      <c r="M382" s="9">
        <v>1.38</v>
      </c>
      <c r="N382" s="9">
        <v>2.2400000000000002</v>
      </c>
      <c r="O382" s="9">
        <f>LN(337.46)</f>
        <v>5.8214469847701915</v>
      </c>
      <c r="P382" s="12">
        <v>-0.1</v>
      </c>
      <c r="Q382" s="9">
        <v>14.347151825164058</v>
      </c>
      <c r="R382" s="9">
        <v>0.44400000000000001</v>
      </c>
      <c r="S382" s="9">
        <v>0.38433399560327974</v>
      </c>
    </row>
    <row r="383" spans="1:19" ht="15.6" x14ac:dyDescent="0.3">
      <c r="A383" s="13" t="s">
        <v>47</v>
      </c>
      <c r="B383" s="2" t="s">
        <v>100</v>
      </c>
      <c r="C383" s="1">
        <v>2021</v>
      </c>
      <c r="D383" s="4" t="s">
        <v>164</v>
      </c>
      <c r="E383" s="5">
        <v>30.5</v>
      </c>
      <c r="F383" s="5">
        <v>12.6</v>
      </c>
      <c r="G383" s="5">
        <v>30.2</v>
      </c>
      <c r="H383" s="5">
        <v>61.3</v>
      </c>
      <c r="I383">
        <v>0</v>
      </c>
      <c r="J383" s="1">
        <v>0</v>
      </c>
      <c r="K383" s="1">
        <v>0</v>
      </c>
      <c r="L383" s="9">
        <v>0.24</v>
      </c>
      <c r="M383" s="9">
        <v>2.2799999999999998</v>
      </c>
      <c r="N383" s="9">
        <v>3.89</v>
      </c>
      <c r="O383" s="9">
        <f>LN(373.78)</f>
        <v>5.9236673890421567</v>
      </c>
      <c r="P383" s="12">
        <v>2.5</v>
      </c>
      <c r="Q383" s="9">
        <v>14.338051488749702</v>
      </c>
      <c r="R383" s="9">
        <v>0.44400000000000001</v>
      </c>
      <c r="S383" s="9">
        <v>0.41247352943443871</v>
      </c>
    </row>
    <row r="384" spans="1:19" ht="15.6" x14ac:dyDescent="0.3">
      <c r="A384" s="13" t="s">
        <v>47</v>
      </c>
      <c r="B384" s="2" t="s">
        <v>100</v>
      </c>
      <c r="C384" s="1">
        <v>2022</v>
      </c>
      <c r="D384" s="4" t="s">
        <v>164</v>
      </c>
      <c r="E384" s="5">
        <v>35.1</v>
      </c>
      <c r="F384" s="5">
        <v>15.9</v>
      </c>
      <c r="G384" s="5">
        <v>31.2</v>
      </c>
      <c r="H384" s="5">
        <v>72.900000000000006</v>
      </c>
      <c r="I384">
        <v>2</v>
      </c>
      <c r="J384" s="1">
        <v>1</v>
      </c>
      <c r="K384" s="1">
        <v>1</v>
      </c>
      <c r="L384" s="9">
        <v>0.22</v>
      </c>
      <c r="M384" s="9">
        <v>2.82</v>
      </c>
      <c r="N384" s="9">
        <v>5.0199999999999996</v>
      </c>
      <c r="O384" s="9">
        <f>LN(407.61)</f>
        <v>6.0103108349043417</v>
      </c>
      <c r="P384" s="12">
        <v>3.4</v>
      </c>
      <c r="Q384" s="9">
        <v>14.185641364362505</v>
      </c>
      <c r="R384" s="9">
        <v>0.44400000000000001</v>
      </c>
      <c r="S384" s="9">
        <v>0.43860105917161396</v>
      </c>
    </row>
    <row r="385" spans="1:19" ht="15.6" x14ac:dyDescent="0.3">
      <c r="A385" s="13" t="s">
        <v>47</v>
      </c>
      <c r="B385" s="2" t="s">
        <v>100</v>
      </c>
      <c r="C385" s="1">
        <v>2023</v>
      </c>
      <c r="D385" s="4" t="s">
        <v>164</v>
      </c>
      <c r="E385" s="5">
        <v>30.5</v>
      </c>
      <c r="F385" s="5">
        <v>12.6</v>
      </c>
      <c r="G385" s="5">
        <v>30.2</v>
      </c>
      <c r="H385" s="5">
        <v>61.3</v>
      </c>
      <c r="I385">
        <v>2</v>
      </c>
      <c r="J385" s="1">
        <v>1</v>
      </c>
      <c r="K385" s="1">
        <v>1</v>
      </c>
      <c r="L385" s="9">
        <v>0.31</v>
      </c>
      <c r="M385" s="9">
        <v>3.36</v>
      </c>
      <c r="N385" s="9">
        <v>5.76</v>
      </c>
      <c r="O385" s="9">
        <f>LN(399.71)</f>
        <v>5.9907392841683871</v>
      </c>
      <c r="P385" s="12">
        <v>2.5</v>
      </c>
      <c r="Q385" s="9">
        <v>14.150219812874655</v>
      </c>
      <c r="R385" s="9">
        <v>0.44400000000000001</v>
      </c>
      <c r="S385" s="9">
        <v>0.41764279080151179</v>
      </c>
    </row>
    <row r="386" spans="1:19" ht="15.6" x14ac:dyDescent="0.3">
      <c r="A386" s="13" t="s">
        <v>48</v>
      </c>
      <c r="B386" s="2" t="s">
        <v>101</v>
      </c>
      <c r="C386" s="1">
        <v>2016</v>
      </c>
      <c r="D386" s="4" t="s">
        <v>155</v>
      </c>
      <c r="E386" s="5">
        <v>57.7</v>
      </c>
      <c r="F386" s="5">
        <v>21.1</v>
      </c>
      <c r="G386" s="5">
        <v>74.599999999999994</v>
      </c>
      <c r="H386" s="5">
        <v>54.3</v>
      </c>
      <c r="I386">
        <v>1.1000000000000001</v>
      </c>
      <c r="J386" s="1">
        <v>0.5</v>
      </c>
      <c r="K386" s="1">
        <v>0.6</v>
      </c>
      <c r="L386" s="9">
        <v>0.23</v>
      </c>
      <c r="M386" s="9">
        <v>1.18</v>
      </c>
      <c r="N386" s="9">
        <v>5.8</v>
      </c>
      <c r="O386" s="9">
        <f>LN(301.26)</f>
        <v>5.7079736792746694</v>
      </c>
      <c r="P386" s="12">
        <v>2.1</v>
      </c>
      <c r="Q386" s="9">
        <v>15.72449260952779</v>
      </c>
      <c r="R386" s="9">
        <v>0.4</v>
      </c>
      <c r="S386" s="9">
        <v>0.79740322651891771</v>
      </c>
    </row>
    <row r="387" spans="1:19" ht="15.6" x14ac:dyDescent="0.3">
      <c r="A387" s="13" t="s">
        <v>48</v>
      </c>
      <c r="B387" s="2" t="s">
        <v>101</v>
      </c>
      <c r="C387" s="1">
        <v>2017</v>
      </c>
      <c r="D387" s="4" t="s">
        <v>155</v>
      </c>
      <c r="E387" s="5">
        <v>56</v>
      </c>
      <c r="F387" s="5">
        <v>22.4</v>
      </c>
      <c r="G387" s="5">
        <v>70.3</v>
      </c>
      <c r="H387" s="5">
        <v>54.1</v>
      </c>
      <c r="I387">
        <v>1.5</v>
      </c>
      <c r="J387" s="1">
        <v>0.5</v>
      </c>
      <c r="K387" s="1">
        <v>1</v>
      </c>
      <c r="L387" s="9">
        <v>0.16</v>
      </c>
      <c r="M387" s="9">
        <v>0.99</v>
      </c>
      <c r="N387" s="9">
        <v>4.3</v>
      </c>
      <c r="O387" s="9">
        <f>LN(319.11)</f>
        <v>5.7655358709316831</v>
      </c>
      <c r="P387" s="9">
        <v>3.9</v>
      </c>
      <c r="Q387" s="9">
        <v>15.811019659677674</v>
      </c>
      <c r="R387" s="9">
        <v>0.4</v>
      </c>
      <c r="S387" s="9">
        <v>0.76979401836364514</v>
      </c>
    </row>
    <row r="388" spans="1:19" ht="15.6" x14ac:dyDescent="0.3">
      <c r="A388" s="13" t="s">
        <v>48</v>
      </c>
      <c r="B388" s="2" t="s">
        <v>101</v>
      </c>
      <c r="C388" s="1">
        <v>2018</v>
      </c>
      <c r="D388" s="4" t="s">
        <v>155</v>
      </c>
      <c r="E388" s="5">
        <v>46.5</v>
      </c>
      <c r="F388" s="5">
        <v>17.5</v>
      </c>
      <c r="G388" s="5">
        <v>70.099999999999994</v>
      </c>
      <c r="H388" s="5">
        <v>35.200000000000003</v>
      </c>
      <c r="I388">
        <v>1.5</v>
      </c>
      <c r="J388" s="1">
        <v>0.5</v>
      </c>
      <c r="K388" s="1">
        <v>1</v>
      </c>
      <c r="L388" s="9">
        <v>0.14000000000000001</v>
      </c>
      <c r="M388" s="9">
        <v>0.95</v>
      </c>
      <c r="N388" s="9">
        <v>4.12</v>
      </c>
      <c r="O388" s="9">
        <f>LN(358.79)</f>
        <v>5.8827372591162019</v>
      </c>
      <c r="P388" s="9">
        <v>0.9</v>
      </c>
      <c r="Q388" s="9">
        <v>15.761854470073647</v>
      </c>
      <c r="R388" s="9">
        <v>0.4</v>
      </c>
      <c r="S388" s="9">
        <v>0.77004905157576631</v>
      </c>
    </row>
    <row r="389" spans="1:19" ht="15.6" x14ac:dyDescent="0.3">
      <c r="A389" s="13" t="s">
        <v>48</v>
      </c>
      <c r="B389" s="2" t="s">
        <v>101</v>
      </c>
      <c r="C389" s="1">
        <v>2019</v>
      </c>
      <c r="D389" s="4" t="s">
        <v>155</v>
      </c>
      <c r="E389" s="5">
        <v>52.6</v>
      </c>
      <c r="F389" s="5">
        <v>23.6</v>
      </c>
      <c r="G389" s="5">
        <v>80.3</v>
      </c>
      <c r="H389" s="5">
        <v>37.9</v>
      </c>
      <c r="I389">
        <v>2</v>
      </c>
      <c r="J389" s="1">
        <v>1</v>
      </c>
      <c r="K389" s="1">
        <v>1</v>
      </c>
      <c r="L389" s="9">
        <v>0.16</v>
      </c>
      <c r="M389" s="9">
        <v>1.22</v>
      </c>
      <c r="N389" s="9">
        <v>4.8499999999999996</v>
      </c>
      <c r="O389" s="9">
        <f>LN(365.18)</f>
        <v>5.9003903827085873</v>
      </c>
      <c r="P389" s="12">
        <v>0.7</v>
      </c>
      <c r="Q389" s="9">
        <v>15.684968913337817</v>
      </c>
      <c r="R389" s="9">
        <v>0.4</v>
      </c>
      <c r="S389" s="9">
        <v>0.74847377313936336</v>
      </c>
    </row>
    <row r="390" spans="1:19" ht="15.6" x14ac:dyDescent="0.3">
      <c r="A390" s="13" t="s">
        <v>48</v>
      </c>
      <c r="B390" s="2" t="s">
        <v>101</v>
      </c>
      <c r="C390" s="1">
        <v>2020</v>
      </c>
      <c r="D390" s="4" t="s">
        <v>155</v>
      </c>
      <c r="E390" s="5">
        <v>68.3</v>
      </c>
      <c r="F390" s="5">
        <v>24.6</v>
      </c>
      <c r="G390" s="5">
        <v>78.400000000000006</v>
      </c>
      <c r="H390" s="5">
        <v>73</v>
      </c>
      <c r="I390">
        <v>2</v>
      </c>
      <c r="J390" s="1">
        <v>1</v>
      </c>
      <c r="K390" s="1">
        <v>1</v>
      </c>
      <c r="L390" s="9">
        <v>0.19</v>
      </c>
      <c r="M390" s="9">
        <v>1.19</v>
      </c>
      <c r="N390" s="9">
        <v>4.45</v>
      </c>
      <c r="O390" s="9">
        <f>LN(337.46)</f>
        <v>5.8214469847701915</v>
      </c>
      <c r="P390" s="12">
        <v>-0.1</v>
      </c>
      <c r="Q390" s="9">
        <v>15.611857986393426</v>
      </c>
      <c r="R390" s="9">
        <v>0.4</v>
      </c>
      <c r="S390" s="9">
        <v>0.73356553223335819</v>
      </c>
    </row>
    <row r="391" spans="1:19" ht="15.6" x14ac:dyDescent="0.3">
      <c r="A391" s="13" t="s">
        <v>48</v>
      </c>
      <c r="B391" s="2" t="s">
        <v>101</v>
      </c>
      <c r="C391" s="1">
        <v>2021</v>
      </c>
      <c r="D391" s="4" t="s">
        <v>155</v>
      </c>
      <c r="E391" s="5">
        <v>84</v>
      </c>
      <c r="F391" s="5">
        <v>89.3</v>
      </c>
      <c r="G391" s="5">
        <v>83.9</v>
      </c>
      <c r="H391" s="5">
        <v>85.6</v>
      </c>
      <c r="I391">
        <v>2</v>
      </c>
      <c r="J391" s="1">
        <v>1</v>
      </c>
      <c r="K391" s="1">
        <v>1</v>
      </c>
      <c r="L391" s="9">
        <v>0.16</v>
      </c>
      <c r="M391" s="9">
        <v>1.1299999999999999</v>
      </c>
      <c r="N391" s="9">
        <v>4</v>
      </c>
      <c r="O391" s="9">
        <f>LN(373.78)</f>
        <v>5.9236673890421567</v>
      </c>
      <c r="P391" s="12">
        <v>2.5</v>
      </c>
      <c r="Q391" s="9">
        <v>15.525238955143005</v>
      </c>
      <c r="R391" s="9">
        <v>0.4</v>
      </c>
      <c r="S391" s="9">
        <v>0.71811211659604957</v>
      </c>
    </row>
    <row r="392" spans="1:19" ht="15.6" x14ac:dyDescent="0.3">
      <c r="A392" s="13" t="s">
        <v>48</v>
      </c>
      <c r="B392" s="2" t="s">
        <v>101</v>
      </c>
      <c r="C392" s="1">
        <v>2022</v>
      </c>
      <c r="D392" s="4" t="s">
        <v>155</v>
      </c>
      <c r="E392" s="5">
        <v>87.4</v>
      </c>
      <c r="F392" s="5">
        <v>89.3</v>
      </c>
      <c r="G392" s="5">
        <v>83.3</v>
      </c>
      <c r="H392" s="5">
        <v>96.1</v>
      </c>
      <c r="I392">
        <v>2</v>
      </c>
      <c r="J392" s="1">
        <v>1</v>
      </c>
      <c r="K392" s="1">
        <v>1</v>
      </c>
      <c r="L392" s="9">
        <v>0.15</v>
      </c>
      <c r="M392" s="9">
        <v>1.38</v>
      </c>
      <c r="N392" s="9">
        <v>4.51</v>
      </c>
      <c r="O392" s="9">
        <f>LN(407.61)</f>
        <v>6.0103108349043417</v>
      </c>
      <c r="P392" s="12">
        <v>3.4</v>
      </c>
      <c r="Q392" s="9">
        <v>15.421263087710422</v>
      </c>
      <c r="R392" s="9">
        <v>0.4</v>
      </c>
      <c r="S392" s="9">
        <v>0.69542077486240883</v>
      </c>
    </row>
    <row r="393" spans="1:19" ht="15.6" x14ac:dyDescent="0.3">
      <c r="A393" s="13" t="s">
        <v>48</v>
      </c>
      <c r="B393" s="2" t="s">
        <v>101</v>
      </c>
      <c r="C393" s="1">
        <v>2023</v>
      </c>
      <c r="D393" s="4" t="s">
        <v>155</v>
      </c>
      <c r="E393" s="5">
        <v>84</v>
      </c>
      <c r="F393" s="5">
        <v>89.3</v>
      </c>
      <c r="G393" s="5">
        <v>83.9</v>
      </c>
      <c r="H393" s="5">
        <v>85.6</v>
      </c>
      <c r="I393">
        <v>2</v>
      </c>
      <c r="J393" s="1">
        <v>1</v>
      </c>
      <c r="K393" s="1">
        <v>1</v>
      </c>
      <c r="L393" s="9">
        <v>0.16</v>
      </c>
      <c r="M393" s="9">
        <v>-4.12</v>
      </c>
      <c r="N393" s="9">
        <v>-15.09</v>
      </c>
      <c r="O393" s="9">
        <f>LN(399.71)</f>
        <v>5.9907392841683871</v>
      </c>
      <c r="P393" s="12">
        <v>2.5</v>
      </c>
      <c r="Q393" s="9">
        <v>15.301956768159606</v>
      </c>
      <c r="R393" s="9">
        <v>0.4</v>
      </c>
      <c r="S393" s="9">
        <v>0.72676498494239883</v>
      </c>
    </row>
    <row r="394" spans="1:19" ht="15.6" x14ac:dyDescent="0.3">
      <c r="A394" s="13" t="s">
        <v>49</v>
      </c>
      <c r="B394" s="2" t="s">
        <v>102</v>
      </c>
      <c r="C394" s="1">
        <v>2016</v>
      </c>
      <c r="D394" s="4" t="s">
        <v>160</v>
      </c>
      <c r="E394" s="5">
        <v>42</v>
      </c>
      <c r="F394" s="5">
        <v>13.8</v>
      </c>
      <c r="G394" s="5">
        <v>72.099999999999994</v>
      </c>
      <c r="H394" s="5">
        <v>36.200000000000003</v>
      </c>
      <c r="I394">
        <v>0.6</v>
      </c>
      <c r="J394" s="1">
        <v>0</v>
      </c>
      <c r="K394" s="1">
        <v>0.6</v>
      </c>
      <c r="L394" s="9">
        <v>0.11</v>
      </c>
      <c r="M394" s="9">
        <v>0.95</v>
      </c>
      <c r="N394" s="9">
        <v>9.8800000000000008</v>
      </c>
      <c r="O394" s="9">
        <f>LN(301.26)</f>
        <v>5.7079736792746694</v>
      </c>
      <c r="P394" s="12">
        <v>2.1</v>
      </c>
      <c r="Q394" s="9">
        <v>18.915719805068008</v>
      </c>
      <c r="R394" s="9">
        <v>0.66666666666666663</v>
      </c>
      <c r="S394" s="9">
        <v>0.90424047408330088</v>
      </c>
    </row>
    <row r="395" spans="1:19" ht="15.6" x14ac:dyDescent="0.3">
      <c r="A395" s="1" t="s">
        <v>49</v>
      </c>
      <c r="B395" s="2" t="s">
        <v>102</v>
      </c>
      <c r="C395" s="1">
        <v>2017</v>
      </c>
      <c r="D395" s="4" t="s">
        <v>160</v>
      </c>
      <c r="E395" s="5">
        <v>45.2</v>
      </c>
      <c r="F395" s="5">
        <v>18.7</v>
      </c>
      <c r="G395" s="5">
        <v>68.5</v>
      </c>
      <c r="H395" s="5">
        <v>47.4</v>
      </c>
      <c r="I395">
        <v>0.6</v>
      </c>
      <c r="J395" s="1">
        <v>0</v>
      </c>
      <c r="K395" s="1">
        <v>0.6</v>
      </c>
      <c r="L395" s="9">
        <v>0.14000000000000001</v>
      </c>
      <c r="M395" s="9">
        <v>1.02</v>
      </c>
      <c r="N395" s="9">
        <v>10.37</v>
      </c>
      <c r="O395" s="9">
        <f>LN(319.11)</f>
        <v>5.7655358709316831</v>
      </c>
      <c r="P395" s="9">
        <v>3.9</v>
      </c>
      <c r="Q395" s="9">
        <v>19.05410529234338</v>
      </c>
      <c r="R395" s="9">
        <v>0.66666666666666663</v>
      </c>
      <c r="S395" s="9">
        <v>0.90175953092409245</v>
      </c>
    </row>
    <row r="396" spans="1:19" ht="15.6" x14ac:dyDescent="0.3">
      <c r="A396" s="1" t="s">
        <v>49</v>
      </c>
      <c r="B396" s="2" t="s">
        <v>102</v>
      </c>
      <c r="C396" s="1">
        <v>2018</v>
      </c>
      <c r="D396" s="4" t="s">
        <v>160</v>
      </c>
      <c r="E396" s="5">
        <v>49.8</v>
      </c>
      <c r="F396" s="5">
        <v>24.5</v>
      </c>
      <c r="G396" s="5">
        <v>71.599999999999994</v>
      </c>
      <c r="H396" s="5">
        <v>52.6</v>
      </c>
      <c r="I396">
        <v>0.8</v>
      </c>
      <c r="J396" s="1">
        <v>0</v>
      </c>
      <c r="K396" s="1">
        <v>0.8</v>
      </c>
      <c r="L396" s="9">
        <v>0.13</v>
      </c>
      <c r="M396" s="9">
        <v>1.04</v>
      </c>
      <c r="N396" s="9">
        <v>10.75</v>
      </c>
      <c r="O396" s="9">
        <f>LN(358.79)</f>
        <v>5.8827372591162019</v>
      </c>
      <c r="P396" s="9">
        <v>0.9</v>
      </c>
      <c r="Q396" s="9">
        <v>19.088490526592551</v>
      </c>
      <c r="R396" s="9">
        <v>0.69230769230769229</v>
      </c>
      <c r="S396" s="9">
        <v>0.90367030779782453</v>
      </c>
    </row>
    <row r="397" spans="1:19" ht="15.6" x14ac:dyDescent="0.3">
      <c r="A397" s="1" t="s">
        <v>49</v>
      </c>
      <c r="B397" s="2" t="s">
        <v>102</v>
      </c>
      <c r="C397" s="1">
        <v>2019</v>
      </c>
      <c r="D397" s="4" t="s">
        <v>160</v>
      </c>
      <c r="E397" s="5">
        <v>44.9</v>
      </c>
      <c r="F397" s="5">
        <v>31.7</v>
      </c>
      <c r="G397" s="5">
        <v>64.400000000000006</v>
      </c>
      <c r="H397" s="5">
        <v>33.799999999999997</v>
      </c>
      <c r="I397">
        <v>1.3</v>
      </c>
      <c r="J397" s="1">
        <v>0.5</v>
      </c>
      <c r="K397" s="1">
        <v>0.8</v>
      </c>
      <c r="L397" s="9">
        <v>0.12</v>
      </c>
      <c r="M397" s="9">
        <v>1.02</v>
      </c>
      <c r="N397" s="9">
        <v>10.08</v>
      </c>
      <c r="O397" s="9">
        <f>LN(365.18)</f>
        <v>5.9003903827085873</v>
      </c>
      <c r="P397" s="12">
        <v>0.7</v>
      </c>
      <c r="Q397" s="9">
        <v>19.133083029396428</v>
      </c>
      <c r="R397" s="9">
        <v>0.69230769230769229</v>
      </c>
      <c r="S397" s="9">
        <v>0.89924746847705894</v>
      </c>
    </row>
    <row r="398" spans="1:19" ht="15.6" x14ac:dyDescent="0.3">
      <c r="A398" s="1" t="s">
        <v>49</v>
      </c>
      <c r="B398" s="2" t="s">
        <v>102</v>
      </c>
      <c r="C398" s="1">
        <v>2020</v>
      </c>
      <c r="D398" s="4" t="s">
        <v>160</v>
      </c>
      <c r="E398" s="5">
        <v>56.8</v>
      </c>
      <c r="F398" s="5">
        <v>49.8</v>
      </c>
      <c r="G398" s="5">
        <v>67.2</v>
      </c>
      <c r="H398" s="5">
        <v>51</v>
      </c>
      <c r="I398">
        <v>1.5</v>
      </c>
      <c r="J398" s="1">
        <v>0.5</v>
      </c>
      <c r="K398" s="1">
        <v>1</v>
      </c>
      <c r="L398" s="9">
        <v>0.11</v>
      </c>
      <c r="M398" s="9">
        <v>0.78</v>
      </c>
      <c r="N398" s="9">
        <v>7.71</v>
      </c>
      <c r="O398" s="9">
        <f>LN(337.46)</f>
        <v>5.8214469847701915</v>
      </c>
      <c r="P398" s="12">
        <v>-0.1</v>
      </c>
      <c r="Q398" s="9">
        <v>19.179245465448755</v>
      </c>
      <c r="R398" s="9">
        <v>0.69230769230769229</v>
      </c>
      <c r="S398" s="9">
        <v>0.89833849551243072</v>
      </c>
    </row>
    <row r="399" spans="1:19" ht="15.6" x14ac:dyDescent="0.3">
      <c r="A399" s="1" t="s">
        <v>49</v>
      </c>
      <c r="B399" s="2" t="s">
        <v>102</v>
      </c>
      <c r="C399" s="1">
        <v>2021</v>
      </c>
      <c r="D399" s="4" t="s">
        <v>160</v>
      </c>
      <c r="E399" s="5">
        <v>38.5</v>
      </c>
      <c r="F399" s="5">
        <v>39.9</v>
      </c>
      <c r="G399" s="5">
        <v>47.9</v>
      </c>
      <c r="H399" s="5">
        <v>22.7</v>
      </c>
      <c r="I399">
        <v>1.3</v>
      </c>
      <c r="J399" s="1">
        <v>0.5</v>
      </c>
      <c r="K399" s="1">
        <v>0.8</v>
      </c>
      <c r="L399" s="9">
        <v>0.11</v>
      </c>
      <c r="M399" s="9">
        <v>0.94</v>
      </c>
      <c r="N399" s="9">
        <v>9.4</v>
      </c>
      <c r="O399" s="9">
        <f>LN(373.78)</f>
        <v>5.9236673890421567</v>
      </c>
      <c r="P399" s="12">
        <v>2.5</v>
      </c>
      <c r="Q399" s="9">
        <v>19.175322548943168</v>
      </c>
      <c r="R399" s="9">
        <v>0.69230769230769229</v>
      </c>
      <c r="S399" s="9">
        <v>0.90029816213235125</v>
      </c>
    </row>
    <row r="400" spans="1:19" ht="15.6" x14ac:dyDescent="0.3">
      <c r="A400" s="1" t="s">
        <v>49</v>
      </c>
      <c r="B400" s="2" t="s">
        <v>102</v>
      </c>
      <c r="C400" s="1">
        <v>2022</v>
      </c>
      <c r="D400" s="4" t="s">
        <v>160</v>
      </c>
      <c r="E400" s="5">
        <v>41.9</v>
      </c>
      <c r="F400" s="5">
        <v>44.4</v>
      </c>
      <c r="G400" s="5">
        <v>46.1</v>
      </c>
      <c r="H400" s="5">
        <v>31.7</v>
      </c>
      <c r="I400">
        <v>1.5</v>
      </c>
      <c r="J400" s="1">
        <v>0.5</v>
      </c>
      <c r="K400" s="1">
        <v>1</v>
      </c>
      <c r="L400" s="9">
        <v>0.11</v>
      </c>
      <c r="M400" s="9">
        <v>0.84</v>
      </c>
      <c r="N400" s="9">
        <v>9</v>
      </c>
      <c r="O400" s="9">
        <f>LN(407.61)</f>
        <v>6.0103108349043417</v>
      </c>
      <c r="P400" s="12">
        <v>3.4</v>
      </c>
      <c r="Q400" s="9">
        <v>19.185447568343378</v>
      </c>
      <c r="R400" s="9">
        <v>0.61538461538461542</v>
      </c>
      <c r="S400" s="9">
        <v>0.90654016176750174</v>
      </c>
    </row>
    <row r="401" spans="1:19" ht="15.6" x14ac:dyDescent="0.3">
      <c r="A401" s="1" t="s">
        <v>49</v>
      </c>
      <c r="B401" s="2" t="s">
        <v>102</v>
      </c>
      <c r="C401" s="1">
        <v>2023</v>
      </c>
      <c r="D401" s="4" t="s">
        <v>160</v>
      </c>
      <c r="E401" s="5">
        <v>38.5</v>
      </c>
      <c r="F401" s="5">
        <v>39.9</v>
      </c>
      <c r="G401" s="5">
        <v>47.9</v>
      </c>
      <c r="H401" s="5">
        <v>22.7</v>
      </c>
      <c r="I401">
        <v>1.5</v>
      </c>
      <c r="J401" s="1">
        <v>0.5</v>
      </c>
      <c r="K401" s="1">
        <v>1</v>
      </c>
      <c r="L401" s="9">
        <v>0.1</v>
      </c>
      <c r="M401" s="9">
        <v>0.94</v>
      </c>
      <c r="N401" s="9">
        <v>9.85</v>
      </c>
      <c r="O401" s="9">
        <f>LN(399.71)</f>
        <v>5.9907392841683871</v>
      </c>
      <c r="P401" s="12">
        <v>2.5</v>
      </c>
      <c r="Q401" s="9">
        <v>19.226357661280623</v>
      </c>
      <c r="R401" s="9">
        <v>0.6428571428571429</v>
      </c>
      <c r="S401" s="9">
        <v>0.90498143680434928</v>
      </c>
    </row>
    <row r="402" spans="1:19" ht="15.6" x14ac:dyDescent="0.3">
      <c r="A402" s="13" t="s">
        <v>50</v>
      </c>
      <c r="B402" s="2" t="s">
        <v>103</v>
      </c>
      <c r="C402" s="1">
        <v>2016</v>
      </c>
      <c r="D402" s="4" t="s">
        <v>167</v>
      </c>
      <c r="E402" s="5">
        <v>18.600000000000001</v>
      </c>
      <c r="F402" s="5">
        <v>16.2</v>
      </c>
      <c r="G402" s="5">
        <v>19.8</v>
      </c>
      <c r="H402" s="5">
        <v>19.2</v>
      </c>
      <c r="I402">
        <v>1.4</v>
      </c>
      <c r="J402" s="1">
        <v>1</v>
      </c>
      <c r="K402" s="1">
        <v>0.4</v>
      </c>
      <c r="L402" s="9">
        <v>1.44</v>
      </c>
      <c r="M402" s="9">
        <v>1.8</v>
      </c>
      <c r="N402" s="9">
        <v>2.5</v>
      </c>
      <c r="O402" s="9">
        <f>LN(301.26)</f>
        <v>5.7079736792746694</v>
      </c>
      <c r="P402" s="12">
        <v>2.1</v>
      </c>
      <c r="Q402" s="9">
        <v>13.762841580916993</v>
      </c>
      <c r="R402" s="9">
        <v>0.42899999999999999</v>
      </c>
      <c r="S402" s="9">
        <v>0.28013563909964645</v>
      </c>
    </row>
    <row r="403" spans="1:19" ht="15.6" x14ac:dyDescent="0.3">
      <c r="A403" s="13" t="s">
        <v>50</v>
      </c>
      <c r="B403" s="2" t="s">
        <v>103</v>
      </c>
      <c r="C403" s="1">
        <v>2017</v>
      </c>
      <c r="D403" s="4" t="s">
        <v>167</v>
      </c>
      <c r="E403" s="5">
        <v>39.6</v>
      </c>
      <c r="F403" s="5">
        <v>23.2</v>
      </c>
      <c r="G403" s="5">
        <v>47.8</v>
      </c>
      <c r="H403" s="5">
        <v>43.6</v>
      </c>
      <c r="I403">
        <v>1.4</v>
      </c>
      <c r="J403" s="1">
        <v>1</v>
      </c>
      <c r="K403" s="1">
        <v>0.4</v>
      </c>
      <c r="L403" s="9">
        <v>1.21</v>
      </c>
      <c r="M403" s="9">
        <v>-4.9400000000000004</v>
      </c>
      <c r="N403" s="9">
        <v>-7.53</v>
      </c>
      <c r="O403" s="9">
        <f>LN(319.11)</f>
        <v>5.7655358709316831</v>
      </c>
      <c r="P403" s="9">
        <v>3.9</v>
      </c>
      <c r="Q403" s="9">
        <v>13.885302443487808</v>
      </c>
      <c r="R403" s="9">
        <v>0.42899999999999999</v>
      </c>
      <c r="S403" s="9">
        <v>0.34435341350480514</v>
      </c>
    </row>
    <row r="404" spans="1:19" ht="15.6" x14ac:dyDescent="0.3">
      <c r="A404" s="13" t="s">
        <v>50</v>
      </c>
      <c r="B404" s="2" t="s">
        <v>103</v>
      </c>
      <c r="C404" s="1">
        <v>2018</v>
      </c>
      <c r="D404" s="4" t="s">
        <v>167</v>
      </c>
      <c r="E404" s="5">
        <v>37.4</v>
      </c>
      <c r="F404" s="5">
        <v>28.2</v>
      </c>
      <c r="G404" s="5">
        <v>44.1</v>
      </c>
      <c r="H404" s="5">
        <v>35.9</v>
      </c>
      <c r="I404">
        <v>1.4</v>
      </c>
      <c r="J404" s="1">
        <v>1</v>
      </c>
      <c r="K404" s="1">
        <v>0.4</v>
      </c>
      <c r="L404" s="9">
        <v>0.36</v>
      </c>
      <c r="M404" s="9">
        <v>-7.47</v>
      </c>
      <c r="N404" s="9">
        <v>-12.52</v>
      </c>
      <c r="O404" s="9">
        <f>LN(358.79)</f>
        <v>5.8827372591162019</v>
      </c>
      <c r="P404" s="9">
        <v>0.9</v>
      </c>
      <c r="Q404" s="9">
        <v>13.848498425691208</v>
      </c>
      <c r="R404" s="9">
        <v>0.42899999999999999</v>
      </c>
      <c r="S404" s="9">
        <v>0.40364166581199723</v>
      </c>
    </row>
    <row r="405" spans="1:19" ht="15.6" x14ac:dyDescent="0.3">
      <c r="A405" s="13" t="s">
        <v>50</v>
      </c>
      <c r="B405" s="2" t="s">
        <v>103</v>
      </c>
      <c r="C405" s="1">
        <v>2019</v>
      </c>
      <c r="D405" s="4" t="s">
        <v>167</v>
      </c>
      <c r="E405" s="5">
        <v>35.799999999999997</v>
      </c>
      <c r="F405" s="5">
        <v>29.2</v>
      </c>
      <c r="G405" s="5">
        <v>43.2</v>
      </c>
      <c r="H405" s="5">
        <v>30.5</v>
      </c>
      <c r="I405">
        <v>1.4</v>
      </c>
      <c r="J405" s="1">
        <v>1</v>
      </c>
      <c r="K405" s="1">
        <v>0.4</v>
      </c>
      <c r="L405" s="9"/>
      <c r="M405" s="9"/>
      <c r="N405" s="9"/>
      <c r="O405" s="9">
        <f>LN(365.18)</f>
        <v>5.9003903827085873</v>
      </c>
      <c r="P405" s="12">
        <v>0.7</v>
      </c>
      <c r="Q405" s="9"/>
      <c r="R405" s="9">
        <v>0.25</v>
      </c>
      <c r="S405" s="9"/>
    </row>
    <row r="406" spans="1:19" ht="15.6" x14ac:dyDescent="0.3">
      <c r="A406" s="13" t="s">
        <v>50</v>
      </c>
      <c r="B406" s="2" t="s">
        <v>103</v>
      </c>
      <c r="C406" s="1">
        <v>2020</v>
      </c>
      <c r="D406" s="4" t="s">
        <v>167</v>
      </c>
      <c r="E406" s="5">
        <v>38.799999999999997</v>
      </c>
      <c r="F406" s="5">
        <v>41.2</v>
      </c>
      <c r="G406" s="5">
        <v>42.3</v>
      </c>
      <c r="H406" s="5">
        <v>30.1</v>
      </c>
      <c r="I406">
        <v>2</v>
      </c>
      <c r="J406" s="1">
        <v>1</v>
      </c>
      <c r="K406" s="1">
        <v>1</v>
      </c>
      <c r="L406" s="9">
        <v>0.53</v>
      </c>
      <c r="M406" s="9">
        <v>-4.51</v>
      </c>
      <c r="N406" s="9">
        <v>-11.4</v>
      </c>
      <c r="O406" s="9">
        <f>LN(337.46)</f>
        <v>5.8214469847701915</v>
      </c>
      <c r="P406" s="12">
        <v>-0.1</v>
      </c>
      <c r="Q406" s="9">
        <v>13.711249437749748</v>
      </c>
      <c r="R406" s="9">
        <v>0.25</v>
      </c>
      <c r="S406" s="9">
        <v>0.40611549517752693</v>
      </c>
    </row>
    <row r="407" spans="1:19" ht="15.6" x14ac:dyDescent="0.3">
      <c r="A407" s="13" t="s">
        <v>50</v>
      </c>
      <c r="B407" s="2" t="s">
        <v>103</v>
      </c>
      <c r="C407" s="1">
        <v>2021</v>
      </c>
      <c r="D407" s="4" t="s">
        <v>167</v>
      </c>
      <c r="E407" s="5"/>
      <c r="F407" s="5"/>
      <c r="G407" s="5"/>
      <c r="H407" s="5"/>
      <c r="I407">
        <v>2</v>
      </c>
      <c r="J407" s="1">
        <v>1</v>
      </c>
      <c r="K407" s="1">
        <v>1</v>
      </c>
      <c r="L407" s="9">
        <v>0.72</v>
      </c>
      <c r="M407" s="9">
        <v>0.19</v>
      </c>
      <c r="N407" s="9">
        <v>0.28999999999999998</v>
      </c>
      <c r="O407" s="9">
        <f>LN(373.78)</f>
        <v>5.9236673890421567</v>
      </c>
      <c r="P407" s="12">
        <v>2.5</v>
      </c>
      <c r="Q407" s="9">
        <v>13.716323171498962</v>
      </c>
      <c r="R407" s="9">
        <v>0.25</v>
      </c>
      <c r="S407" s="9">
        <v>0.3260686880019612</v>
      </c>
    </row>
    <row r="408" spans="1:19" ht="15.6" x14ac:dyDescent="0.3">
      <c r="A408" s="13" t="s">
        <v>50</v>
      </c>
      <c r="B408" s="2" t="s">
        <v>103</v>
      </c>
      <c r="C408" s="1">
        <v>2022</v>
      </c>
      <c r="D408" s="4" t="s">
        <v>167</v>
      </c>
      <c r="E408" s="5"/>
      <c r="F408" s="5"/>
      <c r="G408" s="5"/>
      <c r="H408" s="5"/>
      <c r="I408">
        <v>1.8</v>
      </c>
      <c r="J408" s="1">
        <v>1</v>
      </c>
      <c r="K408" s="1">
        <v>0.8</v>
      </c>
      <c r="L408" s="9">
        <v>0.28000000000000003</v>
      </c>
      <c r="M408" s="9">
        <v>0.8</v>
      </c>
      <c r="N408" s="9">
        <v>1.45</v>
      </c>
      <c r="O408" s="9">
        <f>LN(407.61)</f>
        <v>6.0103108349043417</v>
      </c>
      <c r="P408" s="12">
        <v>3.4</v>
      </c>
      <c r="Q408" s="9">
        <v>14.676890512875072</v>
      </c>
      <c r="R408" s="9">
        <v>0.25</v>
      </c>
      <c r="S408" s="9">
        <v>0.44568133183233438</v>
      </c>
    </row>
    <row r="409" spans="1:19" ht="15.6" x14ac:dyDescent="0.3">
      <c r="A409" s="13" t="s">
        <v>50</v>
      </c>
      <c r="B409" s="2" t="s">
        <v>103</v>
      </c>
      <c r="C409" s="1">
        <v>2023</v>
      </c>
      <c r="D409" s="4" t="s">
        <v>167</v>
      </c>
      <c r="E409" s="5"/>
      <c r="F409" s="5"/>
      <c r="G409" s="5"/>
      <c r="H409" s="5"/>
      <c r="I409">
        <v>2</v>
      </c>
      <c r="J409" s="1">
        <v>1</v>
      </c>
      <c r="K409" s="1">
        <v>1</v>
      </c>
      <c r="L409" s="9">
        <v>0.37</v>
      </c>
      <c r="M409" s="9">
        <v>1.45</v>
      </c>
      <c r="N409" s="9">
        <v>2.67</v>
      </c>
      <c r="O409" s="9">
        <f>LN(399.71)</f>
        <v>5.9907392841683871</v>
      </c>
      <c r="P409" s="12">
        <v>2.5</v>
      </c>
      <c r="Q409" s="9">
        <v>14.667703418267243</v>
      </c>
      <c r="R409" s="9">
        <v>0.25</v>
      </c>
      <c r="S409" s="9">
        <v>0.45726107703783248</v>
      </c>
    </row>
    <row r="410" spans="1:19" ht="15.6" x14ac:dyDescent="0.3">
      <c r="A410" s="13" t="s">
        <v>184</v>
      </c>
      <c r="B410" s="2" t="s">
        <v>104</v>
      </c>
      <c r="C410" s="1">
        <v>2016</v>
      </c>
      <c r="D410" s="4" t="s">
        <v>161</v>
      </c>
      <c r="E410" s="5"/>
      <c r="F410" s="5"/>
      <c r="G410" s="5"/>
      <c r="H410" s="5"/>
      <c r="I410">
        <v>2</v>
      </c>
      <c r="J410" s="1">
        <v>1</v>
      </c>
      <c r="K410" s="1">
        <v>1</v>
      </c>
      <c r="L410" s="9">
        <v>0.47</v>
      </c>
      <c r="M410" s="9">
        <v>0.33</v>
      </c>
      <c r="N410" s="9">
        <v>0.81</v>
      </c>
      <c r="O410" s="9">
        <f>LN(301.26)</f>
        <v>5.7079736792746694</v>
      </c>
      <c r="P410" s="12">
        <v>2.1</v>
      </c>
      <c r="Q410" s="9">
        <v>14.986067003234378</v>
      </c>
      <c r="R410" s="9">
        <v>0.33300000000000002</v>
      </c>
      <c r="S410" s="9">
        <v>0.87067876093512409</v>
      </c>
    </row>
    <row r="411" spans="1:19" ht="15.6" x14ac:dyDescent="0.3">
      <c r="A411" s="13" t="s">
        <v>184</v>
      </c>
      <c r="B411" s="2" t="s">
        <v>104</v>
      </c>
      <c r="C411" s="1">
        <v>2017</v>
      </c>
      <c r="D411" s="4" t="s">
        <v>161</v>
      </c>
      <c r="E411" s="5"/>
      <c r="F411" s="5"/>
      <c r="G411" s="5"/>
      <c r="H411" s="5"/>
      <c r="I411">
        <v>2</v>
      </c>
      <c r="J411" s="1">
        <v>1</v>
      </c>
      <c r="K411" s="1">
        <v>1</v>
      </c>
      <c r="L411" s="9">
        <v>0.66</v>
      </c>
      <c r="M411" s="9">
        <v>1.08</v>
      </c>
      <c r="N411" s="9">
        <v>2.75</v>
      </c>
      <c r="O411" s="9">
        <f>LN(319.11)</f>
        <v>5.7655358709316831</v>
      </c>
      <c r="P411" s="9">
        <v>3.9</v>
      </c>
      <c r="Q411" s="9">
        <v>14.998636161617172</v>
      </c>
      <c r="R411" s="9">
        <v>0.44400000000000001</v>
      </c>
      <c r="S411" s="9">
        <v>1.0172258943159909</v>
      </c>
    </row>
    <row r="412" spans="1:19" ht="15.6" x14ac:dyDescent="0.3">
      <c r="A412" s="13" t="s">
        <v>184</v>
      </c>
      <c r="B412" s="2" t="s">
        <v>104</v>
      </c>
      <c r="C412" s="1">
        <v>2018</v>
      </c>
      <c r="D412" s="4" t="s">
        <v>161</v>
      </c>
      <c r="E412" s="5"/>
      <c r="F412" s="5"/>
      <c r="G412" s="5"/>
      <c r="H412" s="5"/>
      <c r="I412">
        <v>0.4</v>
      </c>
      <c r="J412" s="1">
        <v>0</v>
      </c>
      <c r="K412" s="1">
        <v>0.4</v>
      </c>
      <c r="L412" s="9">
        <v>0.62</v>
      </c>
      <c r="M412" s="9">
        <v>3.27</v>
      </c>
      <c r="N412" s="9">
        <v>7.96</v>
      </c>
      <c r="O412" s="9">
        <f>LN(358.79)</f>
        <v>5.8827372591162019</v>
      </c>
      <c r="P412" s="9">
        <v>0.9</v>
      </c>
      <c r="Q412" s="9">
        <v>15.11095445494816</v>
      </c>
      <c r="R412" s="9">
        <v>0.5</v>
      </c>
      <c r="S412" s="9">
        <v>0.86875273262978292</v>
      </c>
    </row>
    <row r="413" spans="1:19" ht="15.6" x14ac:dyDescent="0.3">
      <c r="A413" s="13" t="s">
        <v>184</v>
      </c>
      <c r="B413" s="2" t="s">
        <v>104</v>
      </c>
      <c r="C413" s="1">
        <v>2019</v>
      </c>
      <c r="D413" s="4" t="s">
        <v>161</v>
      </c>
      <c r="E413" s="5"/>
      <c r="F413" s="5"/>
      <c r="G413" s="5"/>
      <c r="H413" s="5"/>
      <c r="I413">
        <v>1.8</v>
      </c>
      <c r="J413" s="1">
        <v>1</v>
      </c>
      <c r="K413" s="1">
        <v>0.8</v>
      </c>
      <c r="L413" s="9">
        <v>0.56999999999999995</v>
      </c>
      <c r="M413" s="9">
        <v>2.42</v>
      </c>
      <c r="N413" s="9">
        <v>5.76</v>
      </c>
      <c r="O413" s="9">
        <f>LN(365.18)</f>
        <v>5.9003903827085873</v>
      </c>
      <c r="P413" s="12">
        <v>0.7</v>
      </c>
      <c r="Q413" s="9">
        <v>15.146051429640304</v>
      </c>
      <c r="R413" s="9">
        <v>0.5</v>
      </c>
      <c r="S413" s="9">
        <v>0.830450724262633</v>
      </c>
    </row>
    <row r="414" spans="1:19" ht="15.6" x14ac:dyDescent="0.3">
      <c r="A414" s="13" t="s">
        <v>184</v>
      </c>
      <c r="B414" s="2" t="s">
        <v>104</v>
      </c>
      <c r="C414" s="1">
        <v>2020</v>
      </c>
      <c r="D414" s="4" t="s">
        <v>161</v>
      </c>
      <c r="E414" s="5"/>
      <c r="F414" s="5"/>
      <c r="G414" s="5"/>
      <c r="H414" s="5"/>
      <c r="I414">
        <v>1.3</v>
      </c>
      <c r="J414" s="1">
        <v>0.5</v>
      </c>
      <c r="K414" s="1">
        <v>0.8</v>
      </c>
      <c r="L414" s="9">
        <v>0.48</v>
      </c>
      <c r="M414" s="9">
        <v>-5.5</v>
      </c>
      <c r="N414" s="9">
        <v>-13.78</v>
      </c>
      <c r="O414" s="9">
        <f>LN(337.46)</f>
        <v>5.8214469847701915</v>
      </c>
      <c r="P414" s="12">
        <v>-0.1</v>
      </c>
      <c r="Q414" s="9">
        <v>15.119852722830469</v>
      </c>
      <c r="R414" s="9">
        <v>0.45500000000000002</v>
      </c>
      <c r="S414" s="9">
        <v>0.82355809515953271</v>
      </c>
    </row>
    <row r="415" spans="1:19" ht="15.6" x14ac:dyDescent="0.3">
      <c r="A415" s="13" t="s">
        <v>184</v>
      </c>
      <c r="B415" s="2" t="s">
        <v>104</v>
      </c>
      <c r="C415" s="1">
        <v>2021</v>
      </c>
      <c r="D415" s="4" t="s">
        <v>161</v>
      </c>
      <c r="E415" s="5">
        <v>49</v>
      </c>
      <c r="F415" s="5">
        <v>25.9</v>
      </c>
      <c r="G415" s="5">
        <v>69.900000000000006</v>
      </c>
      <c r="H415" s="5">
        <v>42.1</v>
      </c>
      <c r="I415">
        <v>1.6</v>
      </c>
      <c r="J415" s="1">
        <v>1</v>
      </c>
      <c r="K415" s="1">
        <v>0.6</v>
      </c>
      <c r="L415" s="9">
        <v>0.49</v>
      </c>
      <c r="M415" s="9">
        <v>-3.8</v>
      </c>
      <c r="N415" s="9">
        <v>-10.57</v>
      </c>
      <c r="O415" s="9">
        <f>LN(373.78)</f>
        <v>5.9236673890421567</v>
      </c>
      <c r="P415" s="12">
        <v>2.5</v>
      </c>
      <c r="Q415" s="9">
        <v>15.134831168514225</v>
      </c>
      <c r="R415" s="9">
        <v>0.54500000000000004</v>
      </c>
      <c r="S415" s="9">
        <v>0.82640737644815565</v>
      </c>
    </row>
    <row r="416" spans="1:19" ht="15.6" x14ac:dyDescent="0.3">
      <c r="A416" s="13" t="s">
        <v>184</v>
      </c>
      <c r="B416" s="2" t="s">
        <v>104</v>
      </c>
      <c r="C416" s="1">
        <v>2022</v>
      </c>
      <c r="D416" s="4" t="s">
        <v>161</v>
      </c>
      <c r="E416" s="5">
        <v>54.7</v>
      </c>
      <c r="F416" s="5">
        <v>36</v>
      </c>
      <c r="G416" s="5">
        <v>69.5</v>
      </c>
      <c r="H416" s="5">
        <v>52.9</v>
      </c>
      <c r="I416">
        <v>2</v>
      </c>
      <c r="J416" s="1">
        <v>1</v>
      </c>
      <c r="K416" s="1">
        <v>1</v>
      </c>
      <c r="L416" s="9">
        <v>0.56000000000000005</v>
      </c>
      <c r="M416" s="9">
        <v>0.96</v>
      </c>
      <c r="N416" s="9">
        <v>2.52</v>
      </c>
      <c r="O416" s="9">
        <f>LN(407.61)</f>
        <v>6.0103108349043417</v>
      </c>
      <c r="P416" s="12">
        <v>3.4</v>
      </c>
      <c r="Q416" s="9">
        <v>15.056368369034557</v>
      </c>
      <c r="R416" s="9">
        <v>0.58299999999999996</v>
      </c>
      <c r="S416" s="9">
        <v>0.78777989457519981</v>
      </c>
    </row>
    <row r="417" spans="1:19" ht="15.6" x14ac:dyDescent="0.3">
      <c r="A417" s="13" t="s">
        <v>184</v>
      </c>
      <c r="B417" s="2" t="s">
        <v>104</v>
      </c>
      <c r="C417" s="1">
        <v>2023</v>
      </c>
      <c r="D417" s="4" t="s">
        <v>161</v>
      </c>
      <c r="E417" s="5">
        <v>49</v>
      </c>
      <c r="F417" s="5">
        <v>25.9</v>
      </c>
      <c r="G417" s="5">
        <v>69.900000000000006</v>
      </c>
      <c r="H417" s="5">
        <v>42.1</v>
      </c>
      <c r="I417">
        <v>2</v>
      </c>
      <c r="J417" s="1">
        <v>1</v>
      </c>
      <c r="K417" s="1">
        <v>1</v>
      </c>
      <c r="L417" s="9">
        <v>0.6</v>
      </c>
      <c r="M417" s="9">
        <v>2.66</v>
      </c>
      <c r="N417" s="9">
        <v>6.79</v>
      </c>
      <c r="O417" s="9">
        <f>LN(399.71)</f>
        <v>5.9907392841683871</v>
      </c>
      <c r="P417" s="12">
        <v>2.5</v>
      </c>
      <c r="Q417" s="9">
        <v>15.059429101010462</v>
      </c>
      <c r="R417" s="9">
        <v>0.61499999999999999</v>
      </c>
      <c r="S417" s="9">
        <v>0.78190875598592291</v>
      </c>
    </row>
    <row r="418" spans="1:19" ht="15.6" x14ac:dyDescent="0.3">
      <c r="A418" s="13" t="s">
        <v>185</v>
      </c>
      <c r="B418" s="2" t="s">
        <v>105</v>
      </c>
      <c r="C418" s="1">
        <v>2016</v>
      </c>
      <c r="D418" s="4" t="s">
        <v>162</v>
      </c>
      <c r="E418" s="5"/>
      <c r="F418" s="5"/>
      <c r="G418" s="5"/>
      <c r="H418" s="5"/>
      <c r="I418">
        <v>1.3</v>
      </c>
      <c r="J418" s="1">
        <v>0.5</v>
      </c>
      <c r="K418" s="1">
        <v>0.8</v>
      </c>
      <c r="L418" s="9">
        <v>1.1499999999999999</v>
      </c>
      <c r="M418" s="9">
        <v>11.49</v>
      </c>
      <c r="N418" s="11">
        <v>13.46</v>
      </c>
      <c r="O418" s="9">
        <f>LN(301.26)</f>
        <v>5.7079736792746694</v>
      </c>
      <c r="P418" s="12">
        <v>2.1</v>
      </c>
      <c r="Q418" s="9">
        <v>12.739015862049762</v>
      </c>
      <c r="R418" s="9">
        <v>0.28599999999999998</v>
      </c>
      <c r="S418" s="9">
        <v>0.14641067173726774</v>
      </c>
    </row>
    <row r="419" spans="1:19" ht="15.6" x14ac:dyDescent="0.3">
      <c r="A419" s="13" t="s">
        <v>185</v>
      </c>
      <c r="B419" s="2" t="s">
        <v>105</v>
      </c>
      <c r="C419" s="1">
        <v>2017</v>
      </c>
      <c r="D419" s="4" t="s">
        <v>162</v>
      </c>
      <c r="E419" s="5"/>
      <c r="F419" s="5"/>
      <c r="G419" s="5"/>
      <c r="H419" s="5"/>
      <c r="I419">
        <v>1.3</v>
      </c>
      <c r="J419" s="1">
        <v>0.5</v>
      </c>
      <c r="K419" s="1">
        <v>0.8</v>
      </c>
      <c r="L419" s="9">
        <v>1.74</v>
      </c>
      <c r="M419" s="9">
        <v>10.91</v>
      </c>
      <c r="N419" s="9">
        <v>13.39</v>
      </c>
      <c r="O419" s="9">
        <f>LN(319.11)</f>
        <v>5.7655358709316831</v>
      </c>
      <c r="P419" s="9">
        <v>3.9</v>
      </c>
      <c r="Q419" s="9">
        <v>12.847263153821373</v>
      </c>
      <c r="R419" s="9">
        <v>0.28599999999999998</v>
      </c>
      <c r="S419" s="9">
        <v>0.18500689931217545</v>
      </c>
    </row>
    <row r="420" spans="1:19" ht="15.6" x14ac:dyDescent="0.3">
      <c r="A420" s="13" t="s">
        <v>185</v>
      </c>
      <c r="B420" s="2" t="s">
        <v>105</v>
      </c>
      <c r="C420" s="1">
        <v>2018</v>
      </c>
      <c r="D420" s="4" t="s">
        <v>162</v>
      </c>
      <c r="E420" s="5"/>
      <c r="F420" s="5"/>
      <c r="G420" s="5"/>
      <c r="H420" s="5"/>
      <c r="I420">
        <v>1.1000000000000001</v>
      </c>
      <c r="J420" s="1">
        <v>0.5</v>
      </c>
      <c r="K420" s="1">
        <v>0.6</v>
      </c>
      <c r="L420" s="9">
        <v>1.27</v>
      </c>
      <c r="M420" s="9">
        <v>8.4</v>
      </c>
      <c r="N420" s="9">
        <v>10.14</v>
      </c>
      <c r="O420" s="9">
        <f>LN(358.79)</f>
        <v>5.8827372591162019</v>
      </c>
      <c r="P420" s="9">
        <v>0.9</v>
      </c>
      <c r="Q420" s="9">
        <v>12.947826640118608</v>
      </c>
      <c r="R420" s="9">
        <v>0.375</v>
      </c>
      <c r="S420" s="9">
        <v>0.17155287993274956</v>
      </c>
    </row>
    <row r="421" spans="1:19" ht="15.6" x14ac:dyDescent="0.3">
      <c r="A421" s="13" t="s">
        <v>185</v>
      </c>
      <c r="B421" s="2" t="s">
        <v>105</v>
      </c>
      <c r="C421" s="1">
        <v>2019</v>
      </c>
      <c r="D421" s="4" t="s">
        <v>162</v>
      </c>
      <c r="E421" s="5"/>
      <c r="F421" s="5"/>
      <c r="G421" s="5"/>
      <c r="H421" s="5"/>
      <c r="I421">
        <v>1.1000000000000001</v>
      </c>
      <c r="J421" s="1">
        <v>0.5</v>
      </c>
      <c r="K421" s="1">
        <v>0.6</v>
      </c>
      <c r="L421" s="9">
        <v>1.1299999999999999</v>
      </c>
      <c r="M421" s="9">
        <v>7.51</v>
      </c>
      <c r="N421" s="9">
        <v>8.56</v>
      </c>
      <c r="O421" s="9">
        <f>LN(365.18)</f>
        <v>5.9003903827085873</v>
      </c>
      <c r="P421" s="12">
        <v>0.7</v>
      </c>
      <c r="Q421" s="9">
        <v>12.929877538871347</v>
      </c>
      <c r="R421" s="9">
        <v>0.375</v>
      </c>
      <c r="S421" s="9">
        <v>0.12242364584570849</v>
      </c>
    </row>
    <row r="422" spans="1:19" ht="15.6" x14ac:dyDescent="0.3">
      <c r="A422" s="13" t="s">
        <v>185</v>
      </c>
      <c r="B422" s="2" t="s">
        <v>105</v>
      </c>
      <c r="C422" s="1">
        <v>2020</v>
      </c>
      <c r="D422" s="4" t="s">
        <v>162</v>
      </c>
      <c r="E422" s="5"/>
      <c r="F422" s="5"/>
      <c r="G422" s="5"/>
      <c r="H422" s="5"/>
      <c r="I422">
        <v>1.1000000000000001</v>
      </c>
      <c r="J422" s="1">
        <v>0.5</v>
      </c>
      <c r="K422" s="1">
        <v>0.6</v>
      </c>
      <c r="L422" s="9">
        <v>1.1499999999999999</v>
      </c>
      <c r="M422" s="9">
        <v>7.61</v>
      </c>
      <c r="N422" s="9">
        <v>9.4499999999999993</v>
      </c>
      <c r="O422" s="9">
        <f>LN(337.46)</f>
        <v>5.8214469847701915</v>
      </c>
      <c r="P422" s="12">
        <v>-0.1</v>
      </c>
      <c r="Q422" s="9">
        <v>13.059553494643483</v>
      </c>
      <c r="R422" s="9">
        <v>0.375</v>
      </c>
      <c r="S422" s="9">
        <v>0.19434535662033262</v>
      </c>
    </row>
    <row r="423" spans="1:19" ht="15.6" x14ac:dyDescent="0.3">
      <c r="A423" s="13" t="s">
        <v>185</v>
      </c>
      <c r="B423" s="2" t="s">
        <v>105</v>
      </c>
      <c r="C423" s="1">
        <v>2021</v>
      </c>
      <c r="D423" s="4" t="s">
        <v>162</v>
      </c>
      <c r="E423" s="5">
        <v>56.6</v>
      </c>
      <c r="F423" s="5">
        <v>33.6</v>
      </c>
      <c r="G423" s="5">
        <v>64.7</v>
      </c>
      <c r="H423" s="5">
        <v>77.7</v>
      </c>
      <c r="I423">
        <v>1.1000000000000001</v>
      </c>
      <c r="J423" s="1">
        <v>0.5</v>
      </c>
      <c r="K423" s="1">
        <v>0.6</v>
      </c>
      <c r="L423" s="9">
        <v>3.18</v>
      </c>
      <c r="M423" s="9">
        <v>10.6</v>
      </c>
      <c r="N423" s="9">
        <v>13.7</v>
      </c>
      <c r="O423" s="9">
        <f>LN(373.78)</f>
        <v>5.9236673890421567</v>
      </c>
      <c r="P423" s="12">
        <v>2.5</v>
      </c>
      <c r="Q423" s="9">
        <v>13.333110408381987</v>
      </c>
      <c r="R423" s="9">
        <v>0.5</v>
      </c>
      <c r="S423" s="9">
        <v>0.22604892272800908</v>
      </c>
    </row>
    <row r="424" spans="1:19" ht="15.6" x14ac:dyDescent="0.3">
      <c r="A424" s="13" t="s">
        <v>185</v>
      </c>
      <c r="B424" s="2" t="s">
        <v>105</v>
      </c>
      <c r="C424" s="1">
        <v>2022</v>
      </c>
      <c r="D424" s="4" t="s">
        <v>162</v>
      </c>
      <c r="E424" s="5">
        <v>65.5</v>
      </c>
      <c r="F424" s="5">
        <v>48.1</v>
      </c>
      <c r="G424" s="5">
        <v>74.5</v>
      </c>
      <c r="H424" s="5">
        <v>77.5</v>
      </c>
      <c r="I424">
        <v>1.3</v>
      </c>
      <c r="J424" s="1">
        <v>0.5</v>
      </c>
      <c r="K424" s="1">
        <v>0.8</v>
      </c>
      <c r="L424" s="9">
        <v>1.88</v>
      </c>
      <c r="M424" s="9">
        <v>10.54</v>
      </c>
      <c r="N424" s="9">
        <v>14.16</v>
      </c>
      <c r="O424" s="9">
        <f>LN(407.61)</f>
        <v>6.0103108349043417</v>
      </c>
      <c r="P424" s="12">
        <v>3.4</v>
      </c>
      <c r="Q424" s="9">
        <v>13.470123098580622</v>
      </c>
      <c r="R424" s="9">
        <v>0.5</v>
      </c>
      <c r="S424" s="9">
        <v>0.2555661024993432</v>
      </c>
    </row>
    <row r="425" spans="1:19" ht="15.6" x14ac:dyDescent="0.3">
      <c r="A425" s="13" t="s">
        <v>185</v>
      </c>
      <c r="B425" s="2" t="s">
        <v>105</v>
      </c>
      <c r="C425" s="1">
        <v>2023</v>
      </c>
      <c r="D425" s="4" t="s">
        <v>162</v>
      </c>
      <c r="E425" s="5">
        <v>56.6</v>
      </c>
      <c r="F425" s="5">
        <v>33.6</v>
      </c>
      <c r="G425" s="5">
        <v>64.7</v>
      </c>
      <c r="H425" s="5">
        <v>77.7</v>
      </c>
      <c r="I425">
        <v>1.3</v>
      </c>
      <c r="J425" s="1">
        <v>0.5</v>
      </c>
      <c r="K425" s="1">
        <v>0.8</v>
      </c>
      <c r="L425" s="9">
        <v>1.94</v>
      </c>
      <c r="M425" s="9">
        <v>2.04</v>
      </c>
      <c r="N425" s="9">
        <v>2.6</v>
      </c>
      <c r="O425" s="9">
        <f>LN(399.71)</f>
        <v>5.9907392841683871</v>
      </c>
      <c r="P425" s="12">
        <v>2.5</v>
      </c>
      <c r="Q425" s="9">
        <v>13.375067284356934</v>
      </c>
      <c r="R425" s="9">
        <v>0.5</v>
      </c>
      <c r="S425" s="9">
        <v>0.21636781923445556</v>
      </c>
    </row>
    <row r="426" spans="1:19" ht="15.6" x14ac:dyDescent="0.3">
      <c r="A426" s="13" t="s">
        <v>186</v>
      </c>
      <c r="B426" s="2" t="s">
        <v>106</v>
      </c>
      <c r="C426" s="1">
        <v>2016</v>
      </c>
      <c r="D426" s="4" t="s">
        <v>162</v>
      </c>
      <c r="E426" s="5">
        <v>67.400000000000006</v>
      </c>
      <c r="F426" s="5">
        <v>42.6</v>
      </c>
      <c r="G426" s="5">
        <v>75.5</v>
      </c>
      <c r="H426" s="5">
        <v>70.099999999999994</v>
      </c>
      <c r="I426">
        <v>1.5</v>
      </c>
      <c r="J426" s="1">
        <v>0.5</v>
      </c>
      <c r="K426" s="1">
        <v>1</v>
      </c>
      <c r="L426" s="9">
        <v>0.94</v>
      </c>
      <c r="M426" s="9">
        <v>11.91</v>
      </c>
      <c r="N426" s="9">
        <v>18.09</v>
      </c>
      <c r="O426" s="9">
        <f>LN(301.26)</f>
        <v>5.7079736792746694</v>
      </c>
      <c r="P426" s="12">
        <v>2.1</v>
      </c>
      <c r="Q426" s="9">
        <v>12.769555233463292</v>
      </c>
      <c r="R426" s="9">
        <v>0.5</v>
      </c>
      <c r="S426" s="9">
        <v>0.3416221723835654</v>
      </c>
    </row>
    <row r="427" spans="1:19" ht="15.6" x14ac:dyDescent="0.3">
      <c r="A427" s="13" t="s">
        <v>186</v>
      </c>
      <c r="B427" s="2" t="s">
        <v>106</v>
      </c>
      <c r="C427" s="1">
        <v>2017</v>
      </c>
      <c r="D427" s="4" t="s">
        <v>162</v>
      </c>
      <c r="E427" s="5">
        <v>62.7</v>
      </c>
      <c r="F427" s="5">
        <v>43.5</v>
      </c>
      <c r="G427" s="5">
        <v>74.3</v>
      </c>
      <c r="H427" s="5">
        <v>54.2</v>
      </c>
      <c r="I427">
        <v>1.3</v>
      </c>
      <c r="J427" s="1">
        <v>0.5</v>
      </c>
      <c r="K427" s="1">
        <v>0.8</v>
      </c>
      <c r="L427" s="9">
        <v>0.8</v>
      </c>
      <c r="M427" s="9">
        <v>11.44</v>
      </c>
      <c r="N427" s="9">
        <v>17.670000000000002</v>
      </c>
      <c r="O427" s="9">
        <f>LN(319.11)</f>
        <v>5.7655358709316831</v>
      </c>
      <c r="P427" s="9">
        <v>3.9</v>
      </c>
      <c r="Q427" s="9">
        <v>13.087461325395063</v>
      </c>
      <c r="R427" s="9">
        <v>0.5</v>
      </c>
      <c r="S427" s="9">
        <v>0.35273894584239412</v>
      </c>
    </row>
    <row r="428" spans="1:19" ht="15.6" x14ac:dyDescent="0.3">
      <c r="A428" s="13" t="s">
        <v>186</v>
      </c>
      <c r="B428" s="2" t="s">
        <v>106</v>
      </c>
      <c r="C428" s="1">
        <v>2018</v>
      </c>
      <c r="D428" s="4" t="s">
        <v>162</v>
      </c>
      <c r="E428" s="5">
        <v>24.8</v>
      </c>
      <c r="F428" s="5">
        <v>13.3</v>
      </c>
      <c r="G428" s="5">
        <v>35.9</v>
      </c>
      <c r="H428" s="5">
        <v>18.100000000000001</v>
      </c>
      <c r="I428">
        <v>1.3</v>
      </c>
      <c r="J428" s="1">
        <v>0.5</v>
      </c>
      <c r="K428" s="1">
        <v>0.8</v>
      </c>
      <c r="L428" s="9">
        <v>0.68</v>
      </c>
      <c r="M428" s="9">
        <v>10.41</v>
      </c>
      <c r="N428" s="9">
        <v>16.45</v>
      </c>
      <c r="O428" s="9">
        <f>LN(358.79)</f>
        <v>5.8827372591162019</v>
      </c>
      <c r="P428" s="9">
        <v>0.9</v>
      </c>
      <c r="Q428" s="9">
        <v>13.15011083140684</v>
      </c>
      <c r="R428" s="9">
        <v>0.5</v>
      </c>
      <c r="S428" s="9">
        <v>0.36701564773531908</v>
      </c>
    </row>
    <row r="429" spans="1:19" ht="15.6" x14ac:dyDescent="0.3">
      <c r="A429" s="13" t="s">
        <v>186</v>
      </c>
      <c r="B429" s="2" t="s">
        <v>106</v>
      </c>
      <c r="C429" s="1">
        <v>2019</v>
      </c>
      <c r="D429" s="4" t="s">
        <v>162</v>
      </c>
      <c r="E429" s="5">
        <v>33.6</v>
      </c>
      <c r="F429" s="5">
        <v>18.8</v>
      </c>
      <c r="G429" s="5">
        <v>46.6</v>
      </c>
      <c r="H429" s="5">
        <v>27.5</v>
      </c>
      <c r="I429">
        <v>1.3</v>
      </c>
      <c r="J429" s="1">
        <v>0.5</v>
      </c>
      <c r="K429" s="1">
        <v>0.8</v>
      </c>
      <c r="L429" s="9">
        <v>0.51</v>
      </c>
      <c r="M429" s="9">
        <v>9.2100000000000009</v>
      </c>
      <c r="N429" s="9">
        <v>14.81</v>
      </c>
      <c r="O429" s="9">
        <f>LN(365.18)</f>
        <v>5.9003903827085873</v>
      </c>
      <c r="P429" s="12">
        <v>0.7</v>
      </c>
      <c r="Q429" s="9">
        <v>13.302903348115853</v>
      </c>
      <c r="R429" s="9">
        <v>0.5</v>
      </c>
      <c r="S429" s="9">
        <v>0.37792437204891371</v>
      </c>
    </row>
    <row r="430" spans="1:19" ht="15.6" x14ac:dyDescent="0.3">
      <c r="A430" s="13" t="s">
        <v>186</v>
      </c>
      <c r="B430" s="2" t="s">
        <v>106</v>
      </c>
      <c r="C430" s="1">
        <v>2020</v>
      </c>
      <c r="D430" s="4" t="s">
        <v>162</v>
      </c>
      <c r="E430" s="5">
        <v>44.6</v>
      </c>
      <c r="F430" s="5">
        <v>42.1</v>
      </c>
      <c r="G430" s="5">
        <v>53</v>
      </c>
      <c r="H430" s="5">
        <v>32.700000000000003</v>
      </c>
      <c r="I430">
        <v>1.3</v>
      </c>
      <c r="J430" s="1">
        <v>0.5</v>
      </c>
      <c r="K430" s="1">
        <v>0.8</v>
      </c>
      <c r="L430" s="9">
        <v>0.62</v>
      </c>
      <c r="M430" s="9">
        <v>10.050000000000001</v>
      </c>
      <c r="N430" s="9">
        <v>14.6</v>
      </c>
      <c r="O430" s="9">
        <f>LN(337.46)</f>
        <v>5.8214469847701915</v>
      </c>
      <c r="P430" s="12">
        <v>-0.1</v>
      </c>
      <c r="Q430" s="9">
        <v>13.34964873956587</v>
      </c>
      <c r="R430" s="9">
        <v>0.5</v>
      </c>
      <c r="S430" s="9">
        <v>0.31173178838548488</v>
      </c>
    </row>
    <row r="431" spans="1:19" ht="15.6" x14ac:dyDescent="0.3">
      <c r="A431" s="13" t="s">
        <v>186</v>
      </c>
      <c r="B431" s="2" t="s">
        <v>106</v>
      </c>
      <c r="C431" s="1">
        <v>2021</v>
      </c>
      <c r="D431" s="4" t="s">
        <v>162</v>
      </c>
      <c r="E431" s="5"/>
      <c r="F431" s="5"/>
      <c r="G431" s="5"/>
      <c r="H431" s="5"/>
      <c r="I431">
        <v>1.3</v>
      </c>
      <c r="J431" s="1">
        <v>0.5</v>
      </c>
      <c r="K431" s="1">
        <v>0.8</v>
      </c>
      <c r="L431" s="9">
        <v>0.76</v>
      </c>
      <c r="M431" s="9">
        <v>7.83</v>
      </c>
      <c r="N431" s="9">
        <v>10.81</v>
      </c>
      <c r="O431" s="9">
        <f>LN(373.78)</f>
        <v>5.9236673890421567</v>
      </c>
      <c r="P431" s="12">
        <v>2.5</v>
      </c>
      <c r="Q431" s="9">
        <v>13.342409336128386</v>
      </c>
      <c r="R431" s="9">
        <v>0.53849999999999998</v>
      </c>
      <c r="S431" s="9">
        <v>0.27506512140748907</v>
      </c>
    </row>
    <row r="432" spans="1:19" ht="15.6" x14ac:dyDescent="0.3">
      <c r="A432" s="13" t="s">
        <v>186</v>
      </c>
      <c r="B432" s="2" t="s">
        <v>106</v>
      </c>
      <c r="C432" s="1">
        <v>2022</v>
      </c>
      <c r="D432" s="4" t="s">
        <v>162</v>
      </c>
      <c r="E432" s="5">
        <v>64</v>
      </c>
      <c r="F432" s="5">
        <v>62.1</v>
      </c>
      <c r="G432" s="5">
        <v>79.8</v>
      </c>
      <c r="H432" s="5">
        <v>48.4</v>
      </c>
      <c r="I432">
        <v>1.3</v>
      </c>
      <c r="J432" s="1">
        <v>0.5</v>
      </c>
      <c r="K432" s="1">
        <v>0.8</v>
      </c>
      <c r="L432" s="9">
        <v>0.69</v>
      </c>
      <c r="M432" s="9">
        <v>7.85</v>
      </c>
      <c r="N432" s="9">
        <v>10.42</v>
      </c>
      <c r="O432" s="9">
        <f>LN(407.61)</f>
        <v>6.0103108349043417</v>
      </c>
      <c r="P432" s="12">
        <v>3.4</v>
      </c>
      <c r="Q432" s="9">
        <v>13.302041443252866</v>
      </c>
      <c r="R432" s="9">
        <v>0.53849999999999998</v>
      </c>
      <c r="S432" s="9">
        <v>0.24657261837918773</v>
      </c>
    </row>
    <row r="433" spans="1:19" ht="15.6" x14ac:dyDescent="0.3">
      <c r="A433" s="13" t="s">
        <v>186</v>
      </c>
      <c r="B433" s="2" t="s">
        <v>106</v>
      </c>
      <c r="C433" s="1">
        <v>2023</v>
      </c>
      <c r="D433" s="4" t="s">
        <v>162</v>
      </c>
      <c r="E433" s="5"/>
      <c r="F433" s="5"/>
      <c r="G433" s="5"/>
      <c r="H433" s="5"/>
      <c r="I433">
        <v>2</v>
      </c>
      <c r="J433" s="1">
        <v>1</v>
      </c>
      <c r="K433" s="1">
        <v>1</v>
      </c>
      <c r="L433" s="9">
        <v>0.84</v>
      </c>
      <c r="M433" s="9">
        <v>9.08</v>
      </c>
      <c r="N433" s="9">
        <v>11.51</v>
      </c>
      <c r="O433" s="9">
        <f>LN(399.71)</f>
        <v>5.9907392841683871</v>
      </c>
      <c r="P433" s="12">
        <v>2.5</v>
      </c>
      <c r="Q433" s="9">
        <v>13.251417763172814</v>
      </c>
      <c r="R433" s="9">
        <v>0.53849999999999998</v>
      </c>
      <c r="S433" s="9">
        <v>0.21107763379014055</v>
      </c>
    </row>
    <row r="434" spans="1:19" ht="15.6" x14ac:dyDescent="0.3">
      <c r="A434" s="13" t="s">
        <v>187</v>
      </c>
      <c r="B434" s="2" t="s">
        <v>107</v>
      </c>
      <c r="C434" s="1">
        <v>2016</v>
      </c>
      <c r="D434" s="4" t="s">
        <v>156</v>
      </c>
      <c r="E434" s="5">
        <v>51.9</v>
      </c>
      <c r="F434" s="5">
        <v>39.4</v>
      </c>
      <c r="G434" s="5">
        <v>72.2</v>
      </c>
      <c r="H434" s="5">
        <v>28.8</v>
      </c>
      <c r="I434">
        <v>0</v>
      </c>
      <c r="J434" s="1">
        <v>0</v>
      </c>
      <c r="K434" s="1">
        <v>0</v>
      </c>
      <c r="L434" s="9">
        <v>2.29</v>
      </c>
      <c r="M434" s="9">
        <v>10.25</v>
      </c>
      <c r="N434" s="9">
        <v>42.64</v>
      </c>
      <c r="O434" s="9">
        <f>LN(301.26)</f>
        <v>5.7079736792746694</v>
      </c>
      <c r="P434" s="12">
        <v>2.1</v>
      </c>
      <c r="Q434" s="9">
        <v>15.292274081869486</v>
      </c>
      <c r="R434" s="9">
        <v>0.33333333333333331</v>
      </c>
      <c r="S434" s="9">
        <v>0.75966616964517963</v>
      </c>
    </row>
    <row r="435" spans="1:19" ht="15.6" x14ac:dyDescent="0.3">
      <c r="A435" s="13" t="s">
        <v>187</v>
      </c>
      <c r="B435" s="2" t="s">
        <v>107</v>
      </c>
      <c r="C435" s="1">
        <v>2017</v>
      </c>
      <c r="D435" s="4" t="s">
        <v>156</v>
      </c>
      <c r="E435" s="5">
        <v>53.1</v>
      </c>
      <c r="F435" s="5">
        <v>41.8</v>
      </c>
      <c r="G435" s="5">
        <v>70.8</v>
      </c>
      <c r="H435" s="5">
        <v>33.1</v>
      </c>
      <c r="I435">
        <v>0</v>
      </c>
      <c r="J435" s="1">
        <v>0</v>
      </c>
      <c r="K435" s="1">
        <v>0</v>
      </c>
      <c r="L435" s="9">
        <v>2.4500000000000002</v>
      </c>
      <c r="M435" s="9">
        <v>11.39</v>
      </c>
      <c r="N435" s="9">
        <v>31.39</v>
      </c>
      <c r="O435" s="9">
        <f>LN(319.11)</f>
        <v>5.7655358709316831</v>
      </c>
      <c r="P435" s="9">
        <v>3.9</v>
      </c>
      <c r="Q435" s="9">
        <v>15.365324997265313</v>
      </c>
      <c r="R435" s="9">
        <v>0.33333333333333331</v>
      </c>
      <c r="S435" s="9">
        <v>0.63698903493315917</v>
      </c>
    </row>
    <row r="436" spans="1:19" ht="15.6" x14ac:dyDescent="0.3">
      <c r="A436" s="13" t="s">
        <v>187</v>
      </c>
      <c r="B436" s="2" t="s">
        <v>107</v>
      </c>
      <c r="C436" s="1">
        <v>2018</v>
      </c>
      <c r="D436" s="4" t="s">
        <v>156</v>
      </c>
      <c r="E436" s="5">
        <v>52.1</v>
      </c>
      <c r="F436" s="5">
        <v>42</v>
      </c>
      <c r="G436" s="5">
        <v>73.400000000000006</v>
      </c>
      <c r="H436" s="5">
        <v>27</v>
      </c>
      <c r="I436">
        <v>0</v>
      </c>
      <c r="J436" s="1">
        <v>0</v>
      </c>
      <c r="K436" s="1">
        <v>0</v>
      </c>
      <c r="L436" s="9">
        <v>2.11</v>
      </c>
      <c r="M436" s="9">
        <v>8.99</v>
      </c>
      <c r="N436" s="9">
        <v>24.89</v>
      </c>
      <c r="O436" s="9">
        <f>LN(358.79)</f>
        <v>5.8827372591162019</v>
      </c>
      <c r="P436" s="9">
        <v>0.9</v>
      </c>
      <c r="Q436" s="9">
        <v>15.381190503459319</v>
      </c>
      <c r="R436" s="9">
        <v>0.33333333333333331</v>
      </c>
      <c r="S436" s="9">
        <v>0.63902194099033671</v>
      </c>
    </row>
    <row r="437" spans="1:19" ht="15.6" x14ac:dyDescent="0.3">
      <c r="A437" s="13" t="s">
        <v>187</v>
      </c>
      <c r="B437" s="2" t="s">
        <v>107</v>
      </c>
      <c r="C437" s="1">
        <v>2019</v>
      </c>
      <c r="D437" s="4" t="s">
        <v>156</v>
      </c>
      <c r="E437" s="5">
        <v>57.4</v>
      </c>
      <c r="F437" s="5">
        <v>51.6</v>
      </c>
      <c r="G437" s="5">
        <v>63.5</v>
      </c>
      <c r="H437" s="5">
        <v>53</v>
      </c>
      <c r="I437">
        <v>1.1000000000000001</v>
      </c>
      <c r="J437" s="1">
        <v>0.5</v>
      </c>
      <c r="K437" s="1">
        <v>0.6</v>
      </c>
      <c r="L437" s="9">
        <v>1.86</v>
      </c>
      <c r="M437" s="9">
        <v>6.77</v>
      </c>
      <c r="N437" s="9">
        <v>21.6</v>
      </c>
      <c r="O437" s="9">
        <f>LN(365.18)</f>
        <v>5.9003903827085873</v>
      </c>
      <c r="P437" s="12">
        <v>0.7</v>
      </c>
      <c r="Q437" s="9">
        <v>15.511972047313584</v>
      </c>
      <c r="R437" s="9">
        <v>0.33333333333333331</v>
      </c>
      <c r="S437" s="9">
        <v>0.6863773261966204</v>
      </c>
    </row>
    <row r="438" spans="1:19" ht="15.6" x14ac:dyDescent="0.3">
      <c r="A438" s="13" t="s">
        <v>187</v>
      </c>
      <c r="B438" s="2" t="s">
        <v>107</v>
      </c>
      <c r="C438" s="1">
        <v>2020</v>
      </c>
      <c r="D438" s="4" t="s">
        <v>156</v>
      </c>
      <c r="E438" s="5">
        <v>53.3</v>
      </c>
      <c r="F438" s="5">
        <v>54.2</v>
      </c>
      <c r="G438" s="5">
        <v>65.400000000000006</v>
      </c>
      <c r="H438" s="5">
        <v>29.9</v>
      </c>
      <c r="I438">
        <v>1.3</v>
      </c>
      <c r="J438" s="1">
        <v>0.5</v>
      </c>
      <c r="K438" s="1">
        <v>0.8</v>
      </c>
      <c r="L438" s="9">
        <v>1.8</v>
      </c>
      <c r="M438" s="9">
        <v>6.3</v>
      </c>
      <c r="N438" s="9">
        <v>20.58</v>
      </c>
      <c r="O438" s="9">
        <f>LN(337.46)</f>
        <v>5.8214469847701915</v>
      </c>
      <c r="P438" s="12">
        <v>-0.1</v>
      </c>
      <c r="Q438" s="9">
        <v>15.513918228507272</v>
      </c>
      <c r="R438" s="9">
        <v>0.33333333333333331</v>
      </c>
      <c r="S438" s="9">
        <v>0.69382632558728463</v>
      </c>
    </row>
    <row r="439" spans="1:19" ht="15.6" x14ac:dyDescent="0.3">
      <c r="A439" s="13" t="s">
        <v>187</v>
      </c>
      <c r="B439" s="2" t="s">
        <v>107</v>
      </c>
      <c r="C439" s="1">
        <v>2021</v>
      </c>
      <c r="D439" s="4" t="s">
        <v>156</v>
      </c>
      <c r="E439" s="5">
        <v>54.2</v>
      </c>
      <c r="F439" s="5">
        <v>23.6</v>
      </c>
      <c r="G439" s="5">
        <v>65.8</v>
      </c>
      <c r="H439" s="5">
        <v>54.2</v>
      </c>
      <c r="I439">
        <v>1.3</v>
      </c>
      <c r="J439" s="1">
        <v>0.5</v>
      </c>
      <c r="K439" s="1">
        <v>0.8</v>
      </c>
      <c r="L439" s="9">
        <v>1.69</v>
      </c>
      <c r="M439" s="9">
        <v>5.83</v>
      </c>
      <c r="N439" s="9">
        <v>19.45</v>
      </c>
      <c r="O439" s="9">
        <f>LN(373.78)</f>
        <v>5.9236673890421567</v>
      </c>
      <c r="P439" s="12">
        <v>2.5</v>
      </c>
      <c r="Q439" s="9">
        <v>15.497135541659862</v>
      </c>
      <c r="R439" s="9">
        <v>0.3</v>
      </c>
      <c r="S439" s="9">
        <v>0.70035197259838622</v>
      </c>
    </row>
    <row r="440" spans="1:19" ht="15.6" x14ac:dyDescent="0.3">
      <c r="A440" s="13" t="s">
        <v>187</v>
      </c>
      <c r="B440" s="2" t="s">
        <v>107</v>
      </c>
      <c r="C440" s="1">
        <v>2022</v>
      </c>
      <c r="D440" s="4" t="s">
        <v>156</v>
      </c>
      <c r="E440" s="5">
        <v>53.6</v>
      </c>
      <c r="F440" s="5">
        <v>23.4</v>
      </c>
      <c r="G440" s="5">
        <v>66.599999999999994</v>
      </c>
      <c r="H440" s="5">
        <v>50.6</v>
      </c>
      <c r="I440">
        <v>1.3</v>
      </c>
      <c r="J440" s="1">
        <v>0.5</v>
      </c>
      <c r="K440" s="1">
        <v>0.8</v>
      </c>
      <c r="L440" s="9">
        <v>1.31</v>
      </c>
      <c r="M440" s="9">
        <v>5</v>
      </c>
      <c r="N440" s="9">
        <v>18.91</v>
      </c>
      <c r="O440" s="9">
        <f>LN(407.61)</f>
        <v>6.0103108349043417</v>
      </c>
      <c r="P440" s="12">
        <v>3.4</v>
      </c>
      <c r="Q440" s="9">
        <v>15.468404624472029</v>
      </c>
      <c r="R440" s="9">
        <v>0.41666666666666669</v>
      </c>
      <c r="S440" s="9">
        <v>0.73569106969246489</v>
      </c>
    </row>
    <row r="441" spans="1:19" ht="15.6" x14ac:dyDescent="0.3">
      <c r="A441" s="13" t="s">
        <v>187</v>
      </c>
      <c r="B441" s="2" t="s">
        <v>107</v>
      </c>
      <c r="C441" s="1">
        <v>2023</v>
      </c>
      <c r="D441" s="4" t="s">
        <v>156</v>
      </c>
      <c r="E441" s="5">
        <v>54.2</v>
      </c>
      <c r="F441" s="5">
        <v>23.6</v>
      </c>
      <c r="G441" s="5">
        <v>65.8</v>
      </c>
      <c r="H441" s="5">
        <v>54.2</v>
      </c>
      <c r="I441">
        <v>1.5</v>
      </c>
      <c r="J441" s="1">
        <v>0.5</v>
      </c>
      <c r="K441" s="1">
        <v>1</v>
      </c>
      <c r="L441" s="9">
        <v>1.32</v>
      </c>
      <c r="M441" s="9">
        <v>4.3600000000000003</v>
      </c>
      <c r="N441" s="9">
        <v>17.29</v>
      </c>
      <c r="O441" s="9">
        <f>LN(399.71)</f>
        <v>5.9907392841683871</v>
      </c>
      <c r="P441" s="12">
        <v>2.5</v>
      </c>
      <c r="Q441" s="9">
        <v>15.417230563830779</v>
      </c>
      <c r="R441" s="9">
        <v>0.41666666666666669</v>
      </c>
      <c r="S441" s="9">
        <v>0.74786009800548581</v>
      </c>
    </row>
    <row r="442" spans="1:19" ht="15.6" x14ac:dyDescent="0.3">
      <c r="A442" s="13" t="s">
        <v>188</v>
      </c>
      <c r="B442" s="2" t="s">
        <v>108</v>
      </c>
      <c r="C442" s="1">
        <v>2016</v>
      </c>
      <c r="D442" s="4" t="s">
        <v>155</v>
      </c>
      <c r="E442" s="5"/>
      <c r="F442" s="5"/>
      <c r="G442" s="5"/>
      <c r="H442" s="5"/>
      <c r="I442">
        <v>1.1000000000000001</v>
      </c>
      <c r="J442" s="1">
        <v>0.5</v>
      </c>
      <c r="K442" s="1">
        <v>0.6</v>
      </c>
      <c r="L442" s="9"/>
      <c r="M442" s="9"/>
      <c r="N442" s="9"/>
      <c r="O442" s="9">
        <f>LN(301.26)</f>
        <v>5.7079736792746694</v>
      </c>
      <c r="P442" s="12">
        <v>2.1</v>
      </c>
      <c r="Q442" s="9"/>
      <c r="R442" s="9">
        <v>0.5</v>
      </c>
      <c r="S442" s="9"/>
    </row>
    <row r="443" spans="1:19" ht="15.6" x14ac:dyDescent="0.3">
      <c r="A443" s="13" t="s">
        <v>188</v>
      </c>
      <c r="B443" s="2" t="s">
        <v>108</v>
      </c>
      <c r="C443" s="1">
        <v>2017</v>
      </c>
      <c r="D443" s="4" t="s">
        <v>155</v>
      </c>
      <c r="E443" s="5"/>
      <c r="F443" s="5"/>
      <c r="G443" s="5"/>
      <c r="H443" s="5"/>
      <c r="I443">
        <v>0.6</v>
      </c>
      <c r="J443" s="1">
        <v>0</v>
      </c>
      <c r="K443" s="1">
        <v>0.6</v>
      </c>
      <c r="L443" s="9"/>
      <c r="M443" s="9"/>
      <c r="N443" s="9"/>
      <c r="O443" s="9">
        <f>LN(319.11)</f>
        <v>5.7655358709316831</v>
      </c>
      <c r="P443" s="9">
        <v>3.9</v>
      </c>
      <c r="Q443" s="9"/>
      <c r="R443" s="9">
        <v>0.57099999999999995</v>
      </c>
      <c r="S443" s="9"/>
    </row>
    <row r="444" spans="1:19" ht="15.6" x14ac:dyDescent="0.3">
      <c r="A444" s="13" t="s">
        <v>188</v>
      </c>
      <c r="B444" s="2" t="s">
        <v>108</v>
      </c>
      <c r="C444" s="1">
        <v>2018</v>
      </c>
      <c r="D444" s="4" t="s">
        <v>155</v>
      </c>
      <c r="E444" s="5"/>
      <c r="F444" s="5"/>
      <c r="G444" s="5"/>
      <c r="H444" s="5"/>
      <c r="I444">
        <v>0.6</v>
      </c>
      <c r="J444" s="1">
        <v>0</v>
      </c>
      <c r="K444" s="1">
        <v>0.6</v>
      </c>
      <c r="L444" s="9"/>
      <c r="M444" s="9">
        <v>0.9</v>
      </c>
      <c r="N444" s="9">
        <v>7.23</v>
      </c>
      <c r="O444" s="9">
        <f>LN(358.79)</f>
        <v>5.8827372591162019</v>
      </c>
      <c r="P444" s="9">
        <v>0.9</v>
      </c>
      <c r="Q444" s="9">
        <v>16.151135474786521</v>
      </c>
      <c r="R444" s="9">
        <v>0.55600000000000005</v>
      </c>
      <c r="S444" s="9">
        <v>0.87579457149278583</v>
      </c>
    </row>
    <row r="445" spans="1:19" ht="15.6" x14ac:dyDescent="0.3">
      <c r="A445" s="13" t="s">
        <v>188</v>
      </c>
      <c r="B445" s="2" t="s">
        <v>108</v>
      </c>
      <c r="C445" s="1">
        <v>2019</v>
      </c>
      <c r="D445" s="4" t="s">
        <v>155</v>
      </c>
      <c r="E445" s="5"/>
      <c r="F445" s="5"/>
      <c r="G445" s="5"/>
      <c r="H445" s="5"/>
      <c r="I445">
        <v>1.8</v>
      </c>
      <c r="J445" s="1">
        <v>1</v>
      </c>
      <c r="K445" s="1">
        <v>0.8</v>
      </c>
      <c r="L445" s="9"/>
      <c r="M445" s="9">
        <v>1.1299999999999999</v>
      </c>
      <c r="N445" s="9">
        <v>8.42</v>
      </c>
      <c r="O445" s="9">
        <f>LN(365.18)</f>
        <v>5.9003903827085873</v>
      </c>
      <c r="P445" s="12">
        <v>0.7</v>
      </c>
      <c r="Q445" s="9">
        <v>16.2892980349027</v>
      </c>
      <c r="R445" s="9">
        <v>0.55600000000000005</v>
      </c>
      <c r="S445" s="9">
        <v>0.86529658914249219</v>
      </c>
    </row>
    <row r="446" spans="1:19" ht="15.6" x14ac:dyDescent="0.3">
      <c r="A446" s="13" t="s">
        <v>188</v>
      </c>
      <c r="B446" s="2" t="s">
        <v>108</v>
      </c>
      <c r="C446" s="1">
        <v>2020</v>
      </c>
      <c r="D446" s="4" t="s">
        <v>155</v>
      </c>
      <c r="E446" s="5"/>
      <c r="F446" s="5"/>
      <c r="G446" s="5"/>
      <c r="H446" s="5"/>
      <c r="I446">
        <v>1.8</v>
      </c>
      <c r="J446" s="1">
        <v>1</v>
      </c>
      <c r="K446" s="1">
        <v>0.8</v>
      </c>
      <c r="L446" s="9"/>
      <c r="M446" s="9">
        <v>0.56999999999999995</v>
      </c>
      <c r="N446" s="9">
        <v>3.95</v>
      </c>
      <c r="O446" s="9">
        <f>LN(337.46)</f>
        <v>5.8214469847701915</v>
      </c>
      <c r="P446" s="12">
        <v>-0.1</v>
      </c>
      <c r="Q446" s="9">
        <v>16.262216860515256</v>
      </c>
      <c r="R446" s="9">
        <v>0.6</v>
      </c>
      <c r="S446" s="9">
        <v>0.85564015504092084</v>
      </c>
    </row>
    <row r="447" spans="1:19" ht="15.6" x14ac:dyDescent="0.3">
      <c r="A447" s="13" t="s">
        <v>188</v>
      </c>
      <c r="B447" s="2" t="s">
        <v>108</v>
      </c>
      <c r="C447" s="1">
        <v>2021</v>
      </c>
      <c r="D447" s="4" t="s">
        <v>155</v>
      </c>
      <c r="E447" s="5">
        <v>50.8</v>
      </c>
      <c r="F447" s="5">
        <v>53.9</v>
      </c>
      <c r="G447" s="5">
        <v>57.7</v>
      </c>
      <c r="H447" s="5">
        <v>51.3</v>
      </c>
      <c r="I447">
        <v>1.8</v>
      </c>
      <c r="J447" s="1">
        <v>1</v>
      </c>
      <c r="K447" s="1">
        <v>0.8</v>
      </c>
      <c r="L447" s="9"/>
      <c r="M447" s="9">
        <v>0.92</v>
      </c>
      <c r="N447" s="9">
        <v>6.7</v>
      </c>
      <c r="O447" s="9">
        <f>LN(373.78)</f>
        <v>5.9236673890421567</v>
      </c>
      <c r="P447" s="12">
        <v>2.5</v>
      </c>
      <c r="Q447" s="9">
        <v>16.289429732584164</v>
      </c>
      <c r="R447" s="9">
        <v>0.63600000000000001</v>
      </c>
      <c r="S447" s="9">
        <v>0.86309212872124663</v>
      </c>
    </row>
    <row r="448" spans="1:19" ht="15.6" x14ac:dyDescent="0.3">
      <c r="A448" s="13" t="s">
        <v>188</v>
      </c>
      <c r="B448" s="2" t="s">
        <v>108</v>
      </c>
      <c r="C448" s="1">
        <v>2022</v>
      </c>
      <c r="D448" s="4" t="s">
        <v>155</v>
      </c>
      <c r="E448" s="5">
        <v>64.3</v>
      </c>
      <c r="F448" s="5">
        <v>63.1</v>
      </c>
      <c r="G448" s="5">
        <v>66</v>
      </c>
      <c r="H448" s="5">
        <v>61.9</v>
      </c>
      <c r="I448">
        <v>1.8</v>
      </c>
      <c r="J448" s="1">
        <v>1</v>
      </c>
      <c r="K448" s="1">
        <v>0.8</v>
      </c>
      <c r="L448" s="9"/>
      <c r="M448" s="9">
        <v>0.88</v>
      </c>
      <c r="N448" s="9">
        <v>5.99</v>
      </c>
      <c r="O448" s="9">
        <f>LN(407.61)</f>
        <v>6.0103108349043417</v>
      </c>
      <c r="P448" s="12">
        <v>3.4</v>
      </c>
      <c r="Q448" s="9">
        <v>16.321344447532748</v>
      </c>
      <c r="R448" s="9">
        <v>0.63600000000000001</v>
      </c>
      <c r="S448" s="9">
        <v>0.85360296783692668</v>
      </c>
    </row>
    <row r="449" spans="1:19" ht="15.6" x14ac:dyDescent="0.3">
      <c r="A449" s="13" t="s">
        <v>188</v>
      </c>
      <c r="B449" s="2" t="s">
        <v>108</v>
      </c>
      <c r="C449" s="1">
        <v>2023</v>
      </c>
      <c r="D449" s="4" t="s">
        <v>155</v>
      </c>
      <c r="E449" s="5">
        <v>50.8</v>
      </c>
      <c r="F449" s="5">
        <v>53.9</v>
      </c>
      <c r="G449" s="5">
        <v>57.7</v>
      </c>
      <c r="H449" s="5">
        <v>51.3</v>
      </c>
      <c r="I449">
        <v>2</v>
      </c>
      <c r="J449" s="1">
        <v>1</v>
      </c>
      <c r="K449" s="1">
        <v>1</v>
      </c>
      <c r="L449" s="9"/>
      <c r="M449" s="9">
        <v>0.37</v>
      </c>
      <c r="N449" s="9">
        <v>2.68</v>
      </c>
      <c r="O449" s="9">
        <f>LN(399.71)</f>
        <v>5.9907392841683871</v>
      </c>
      <c r="P449" s="12">
        <v>2.5</v>
      </c>
      <c r="Q449" s="9">
        <v>16.369433812290929</v>
      </c>
      <c r="R449" s="9">
        <v>0.58299999999999996</v>
      </c>
      <c r="S449" s="9">
        <v>0.86256238407497354</v>
      </c>
    </row>
    <row r="450" spans="1:19" ht="15.6" x14ac:dyDescent="0.3">
      <c r="A450" s="13" t="s">
        <v>189</v>
      </c>
      <c r="B450" s="2" t="s">
        <v>109</v>
      </c>
      <c r="C450" s="1">
        <v>2016</v>
      </c>
      <c r="D450" s="4" t="s">
        <v>164</v>
      </c>
      <c r="E450" s="5"/>
      <c r="F450" s="5"/>
      <c r="G450" s="5"/>
      <c r="H450" s="5"/>
      <c r="I450">
        <v>1.6</v>
      </c>
      <c r="J450" s="1">
        <v>1</v>
      </c>
      <c r="K450" s="1">
        <v>0.6</v>
      </c>
      <c r="L450" s="9">
        <v>0.54</v>
      </c>
      <c r="M450" s="9">
        <v>7.51</v>
      </c>
      <c r="N450" s="9">
        <v>8.99</v>
      </c>
      <c r="O450" s="9">
        <f>LN(301.26)</f>
        <v>5.7079736792746694</v>
      </c>
      <c r="P450" s="12">
        <v>2.1</v>
      </c>
      <c r="Q450" s="9">
        <v>12.789452391993716</v>
      </c>
      <c r="R450" s="9">
        <v>0.33300000000000002</v>
      </c>
      <c r="S450" s="9">
        <v>0.16485546165499962</v>
      </c>
    </row>
    <row r="451" spans="1:19" ht="15.6" x14ac:dyDescent="0.3">
      <c r="A451" s="13" t="s">
        <v>189</v>
      </c>
      <c r="B451" s="2" t="s">
        <v>109</v>
      </c>
      <c r="C451" s="1">
        <v>2017</v>
      </c>
      <c r="D451" s="4" t="s">
        <v>164</v>
      </c>
      <c r="E451" s="5"/>
      <c r="F451" s="5"/>
      <c r="G451" s="5"/>
      <c r="H451" s="5"/>
      <c r="I451">
        <v>1.6</v>
      </c>
      <c r="J451" s="1">
        <v>1</v>
      </c>
      <c r="K451" s="1">
        <v>0.6</v>
      </c>
      <c r="L451" s="9">
        <v>0.82</v>
      </c>
      <c r="M451" s="9">
        <v>7.5</v>
      </c>
      <c r="N451" s="9">
        <v>10.11</v>
      </c>
      <c r="O451" s="9">
        <f>LN(319.11)</f>
        <v>5.7655358709316831</v>
      </c>
      <c r="P451" s="9">
        <v>3.9</v>
      </c>
      <c r="Q451" s="9">
        <v>13.026103546824411</v>
      </c>
      <c r="R451" s="9">
        <v>0.41699999999999998</v>
      </c>
      <c r="S451" s="9">
        <v>0.25797046556591519</v>
      </c>
    </row>
    <row r="452" spans="1:19" ht="15.6" x14ac:dyDescent="0.3">
      <c r="A452" s="13" t="s">
        <v>189</v>
      </c>
      <c r="B452" s="2" t="s">
        <v>109</v>
      </c>
      <c r="C452" s="1">
        <v>2018</v>
      </c>
      <c r="D452" s="4" t="s">
        <v>164</v>
      </c>
      <c r="E452" s="5"/>
      <c r="F452" s="5"/>
      <c r="G452" s="5"/>
      <c r="H452" s="5"/>
      <c r="I452">
        <v>1.1000000000000001</v>
      </c>
      <c r="J452" s="1">
        <v>0.5</v>
      </c>
      <c r="K452" s="1">
        <v>0.6</v>
      </c>
      <c r="L452" s="9">
        <v>0.52</v>
      </c>
      <c r="M452" s="9">
        <v>5.15</v>
      </c>
      <c r="N452" s="9">
        <v>8.4700000000000006</v>
      </c>
      <c r="O452" s="9">
        <f>LN(358.79)</f>
        <v>5.8827372591162019</v>
      </c>
      <c r="P452" s="9">
        <v>0.9</v>
      </c>
      <c r="Q452" s="9">
        <v>13.315682571220318</v>
      </c>
      <c r="R452" s="9">
        <v>0.41699999999999998</v>
      </c>
      <c r="S452" s="9">
        <v>0.39235289754135516</v>
      </c>
    </row>
    <row r="453" spans="1:19" ht="15.6" x14ac:dyDescent="0.3">
      <c r="A453" s="13" t="s">
        <v>189</v>
      </c>
      <c r="B453" s="2" t="s">
        <v>109</v>
      </c>
      <c r="C453" s="1">
        <v>2019</v>
      </c>
      <c r="D453" s="4" t="s">
        <v>164</v>
      </c>
      <c r="E453" s="5"/>
      <c r="F453" s="5"/>
      <c r="G453" s="5"/>
      <c r="H453" s="5"/>
      <c r="I453">
        <v>1.1000000000000001</v>
      </c>
      <c r="J453" s="1">
        <v>0.5</v>
      </c>
      <c r="K453" s="1">
        <v>0.6</v>
      </c>
      <c r="L453" s="9">
        <v>0.77</v>
      </c>
      <c r="M453" s="9">
        <v>5.29</v>
      </c>
      <c r="N453" s="9">
        <v>8.98</v>
      </c>
      <c r="O453" s="9">
        <f>LN(365.18)</f>
        <v>5.9003903827085873</v>
      </c>
      <c r="P453" s="12">
        <v>0.7</v>
      </c>
      <c r="Q453" s="9">
        <v>13.472817411545961</v>
      </c>
      <c r="R453" s="9">
        <v>0.41699999999999998</v>
      </c>
      <c r="S453" s="9">
        <v>0.41072696434206374</v>
      </c>
    </row>
    <row r="454" spans="1:19" ht="15.6" x14ac:dyDescent="0.3">
      <c r="A454" s="13" t="s">
        <v>189</v>
      </c>
      <c r="B454" s="2" t="s">
        <v>109</v>
      </c>
      <c r="C454" s="1">
        <v>2020</v>
      </c>
      <c r="D454" s="4" t="s">
        <v>164</v>
      </c>
      <c r="E454" s="5"/>
      <c r="F454" s="5"/>
      <c r="G454" s="5"/>
      <c r="H454" s="5"/>
      <c r="I454">
        <v>1.8</v>
      </c>
      <c r="J454" s="1">
        <v>1</v>
      </c>
      <c r="K454" s="1">
        <v>0.8</v>
      </c>
      <c r="L454" s="9">
        <v>1.1100000000000001</v>
      </c>
      <c r="M454" s="9">
        <v>10.43</v>
      </c>
      <c r="N454" s="9">
        <v>14.84</v>
      </c>
      <c r="O454" s="9">
        <f>LN(337.46)</f>
        <v>5.8214469847701915</v>
      </c>
      <c r="P454" s="12">
        <v>-0.1</v>
      </c>
      <c r="Q454" s="9">
        <v>13.551451257735003</v>
      </c>
      <c r="R454" s="9">
        <v>0.41699999999999998</v>
      </c>
      <c r="S454" s="9">
        <v>0.29726614995155798</v>
      </c>
    </row>
    <row r="455" spans="1:19" ht="15.6" x14ac:dyDescent="0.3">
      <c r="A455" s="13" t="s">
        <v>189</v>
      </c>
      <c r="B455" s="2" t="s">
        <v>109</v>
      </c>
      <c r="C455" s="1">
        <v>2021</v>
      </c>
      <c r="D455" s="4" t="s">
        <v>164</v>
      </c>
      <c r="E455" s="5">
        <v>47.8</v>
      </c>
      <c r="F455" s="5">
        <v>44</v>
      </c>
      <c r="G455" s="5">
        <v>58.1</v>
      </c>
      <c r="H455" s="5">
        <v>43.8</v>
      </c>
      <c r="I455">
        <v>1.8</v>
      </c>
      <c r="J455" s="1">
        <v>1</v>
      </c>
      <c r="K455" s="1">
        <v>0.8</v>
      </c>
      <c r="L455" s="9">
        <v>0.89</v>
      </c>
      <c r="M455" s="9">
        <v>11.95</v>
      </c>
      <c r="N455" s="9">
        <v>16.88</v>
      </c>
      <c r="O455" s="9">
        <f>LN(373.78)</f>
        <v>5.9236673890421567</v>
      </c>
      <c r="P455" s="12">
        <v>2.5</v>
      </c>
      <c r="Q455" s="9">
        <v>13.739220051969202</v>
      </c>
      <c r="R455" s="9">
        <v>0.41699999999999998</v>
      </c>
      <c r="S455" s="9">
        <v>0.29196468177005591</v>
      </c>
    </row>
    <row r="456" spans="1:19" ht="15.6" x14ac:dyDescent="0.3">
      <c r="A456" s="13" t="s">
        <v>189</v>
      </c>
      <c r="B456" s="2" t="s">
        <v>109</v>
      </c>
      <c r="C456" s="1">
        <v>2022</v>
      </c>
      <c r="D456" s="4" t="s">
        <v>164</v>
      </c>
      <c r="E456" s="5">
        <v>49.8</v>
      </c>
      <c r="F456" s="5">
        <v>51.7</v>
      </c>
      <c r="G456" s="5">
        <v>62.6</v>
      </c>
      <c r="H456" s="5">
        <v>37.4</v>
      </c>
      <c r="I456">
        <v>2</v>
      </c>
      <c r="J456" s="1">
        <v>1</v>
      </c>
      <c r="K456" s="1">
        <v>1</v>
      </c>
      <c r="L456" s="9">
        <v>0.77</v>
      </c>
      <c r="M456" s="9">
        <v>9.25</v>
      </c>
      <c r="N456" s="9">
        <v>12.44</v>
      </c>
      <c r="O456" s="9">
        <f>LN(407.61)</f>
        <v>6.0103108349043417</v>
      </c>
      <c r="P456" s="12">
        <v>3.4</v>
      </c>
      <c r="Q456" s="9">
        <v>13.787014370947144</v>
      </c>
      <c r="R456" s="9">
        <v>0.41699999999999998</v>
      </c>
      <c r="S456" s="9">
        <v>0.25600212366216485</v>
      </c>
    </row>
    <row r="457" spans="1:19" ht="15.6" x14ac:dyDescent="0.3">
      <c r="A457" s="13" t="s">
        <v>189</v>
      </c>
      <c r="B457" s="2" t="s">
        <v>109</v>
      </c>
      <c r="C457" s="1">
        <v>2023</v>
      </c>
      <c r="D457" s="4" t="s">
        <v>164</v>
      </c>
      <c r="E457" s="5">
        <v>47.8</v>
      </c>
      <c r="F457" s="5">
        <v>44</v>
      </c>
      <c r="G457" s="5">
        <v>58.1</v>
      </c>
      <c r="H457" s="5">
        <v>43.8</v>
      </c>
      <c r="I457">
        <v>2</v>
      </c>
      <c r="J457" s="1">
        <v>1</v>
      </c>
      <c r="K457" s="1">
        <v>1</v>
      </c>
      <c r="L457" s="9">
        <v>0.81</v>
      </c>
      <c r="M457" s="9">
        <v>8.51</v>
      </c>
      <c r="N457" s="9">
        <v>11.9</v>
      </c>
      <c r="O457" s="9">
        <f>LN(399.71)</f>
        <v>5.9907392841683871</v>
      </c>
      <c r="P457" s="12">
        <v>2.5</v>
      </c>
      <c r="Q457" s="9">
        <v>13.797248822883681</v>
      </c>
      <c r="R457" s="9">
        <v>0.46200000000000002</v>
      </c>
      <c r="S457" s="9">
        <v>0.28488833938959407</v>
      </c>
    </row>
    <row r="458" spans="1:19" ht="15.6" x14ac:dyDescent="0.3">
      <c r="A458" s="13" t="s">
        <v>190</v>
      </c>
      <c r="B458" s="2" t="s">
        <v>110</v>
      </c>
      <c r="C458" s="1">
        <v>2016</v>
      </c>
      <c r="D458" s="4" t="s">
        <v>167</v>
      </c>
      <c r="E458" s="5"/>
      <c r="F458" s="5"/>
      <c r="G458" s="5"/>
      <c r="H458" s="5"/>
      <c r="I458">
        <v>1.3</v>
      </c>
      <c r="J458" s="1">
        <v>0.5</v>
      </c>
      <c r="K458" s="1">
        <v>0.8</v>
      </c>
      <c r="L458" s="9">
        <v>0.57999999999999996</v>
      </c>
      <c r="M458" s="9">
        <v>4.5999999999999996</v>
      </c>
      <c r="N458" s="11">
        <v>6.56</v>
      </c>
      <c r="O458" s="9">
        <f>LN(301.26)</f>
        <v>5.7079736792746694</v>
      </c>
      <c r="P458" s="12">
        <v>2.1</v>
      </c>
      <c r="Q458" s="9">
        <v>16.342598438092843</v>
      </c>
      <c r="R458" s="9">
        <v>0.44444444444444442</v>
      </c>
      <c r="S458" s="9">
        <v>0.29955359917654401</v>
      </c>
    </row>
    <row r="459" spans="1:19" ht="15.6" x14ac:dyDescent="0.3">
      <c r="A459" s="13" t="s">
        <v>190</v>
      </c>
      <c r="B459" s="2" t="s">
        <v>110</v>
      </c>
      <c r="C459" s="1">
        <v>2017</v>
      </c>
      <c r="D459" s="4" t="s">
        <v>167</v>
      </c>
      <c r="E459" s="5"/>
      <c r="F459" s="5"/>
      <c r="G459" s="5"/>
      <c r="H459" s="5"/>
      <c r="I459">
        <v>1.8</v>
      </c>
      <c r="J459" s="1">
        <v>1</v>
      </c>
      <c r="K459" s="1">
        <v>0.8</v>
      </c>
      <c r="L459" s="9">
        <v>0.66</v>
      </c>
      <c r="M459" s="9">
        <v>3.93</v>
      </c>
      <c r="N459" s="9">
        <v>5.52</v>
      </c>
      <c r="O459" s="9">
        <f>LN(319.11)</f>
        <v>5.7655358709316831</v>
      </c>
      <c r="P459" s="9">
        <v>3.9</v>
      </c>
      <c r="Q459" s="9">
        <v>16.335210264696794</v>
      </c>
      <c r="R459" s="9">
        <v>0.44444444444444442</v>
      </c>
      <c r="S459" s="9">
        <v>0.2885892120357042</v>
      </c>
    </row>
    <row r="460" spans="1:19" ht="15.6" x14ac:dyDescent="0.3">
      <c r="A460" s="13" t="s">
        <v>190</v>
      </c>
      <c r="B460" s="2" t="s">
        <v>110</v>
      </c>
      <c r="C460" s="1">
        <v>2018</v>
      </c>
      <c r="D460" s="4" t="s">
        <v>167</v>
      </c>
      <c r="E460" s="5"/>
      <c r="F460" s="5"/>
      <c r="G460" s="5"/>
      <c r="H460" s="5"/>
      <c r="I460">
        <v>2</v>
      </c>
      <c r="J460" s="1">
        <v>1</v>
      </c>
      <c r="K460" s="1">
        <v>1</v>
      </c>
      <c r="L460" s="9">
        <v>0.56999999999999995</v>
      </c>
      <c r="M460" s="9">
        <v>2.52</v>
      </c>
      <c r="N460" s="9">
        <v>3.61</v>
      </c>
      <c r="O460" s="9">
        <f>LN(358.79)</f>
        <v>5.8827372591162019</v>
      </c>
      <c r="P460" s="9">
        <v>0.9</v>
      </c>
      <c r="Q460" s="9">
        <v>16.34767588232965</v>
      </c>
      <c r="R460" s="9">
        <v>0.44444444444444442</v>
      </c>
      <c r="S460" s="9">
        <v>0.30156688990246822</v>
      </c>
    </row>
    <row r="461" spans="1:19" ht="15.6" x14ac:dyDescent="0.3">
      <c r="A461" s="13" t="s">
        <v>190</v>
      </c>
      <c r="B461" s="2" t="s">
        <v>110</v>
      </c>
      <c r="C461" s="1">
        <v>2019</v>
      </c>
      <c r="D461" s="4" t="s">
        <v>167</v>
      </c>
      <c r="E461" s="5"/>
      <c r="F461" s="5"/>
      <c r="G461" s="5"/>
      <c r="H461" s="5"/>
      <c r="I461">
        <v>2</v>
      </c>
      <c r="J461" s="1">
        <v>1</v>
      </c>
      <c r="K461" s="1">
        <v>1</v>
      </c>
      <c r="L461" s="9">
        <v>0.72</v>
      </c>
      <c r="M461" s="9">
        <v>2.75</v>
      </c>
      <c r="N461" s="9">
        <v>3.99</v>
      </c>
      <c r="O461" s="9">
        <f>LN(365.18)</f>
        <v>5.9003903827085873</v>
      </c>
      <c r="P461" s="12">
        <v>0.7</v>
      </c>
      <c r="Q461" s="9">
        <v>16.354975466338729</v>
      </c>
      <c r="R461" s="9">
        <v>0.44444444444444442</v>
      </c>
      <c r="S461" s="9">
        <v>0.31062280357878963</v>
      </c>
    </row>
    <row r="462" spans="1:19" ht="15.6" x14ac:dyDescent="0.3">
      <c r="A462" s="13" t="s">
        <v>190</v>
      </c>
      <c r="B462" s="2" t="s">
        <v>110</v>
      </c>
      <c r="C462" s="1">
        <v>2020</v>
      </c>
      <c r="D462" s="4" t="s">
        <v>167</v>
      </c>
      <c r="E462" s="5"/>
      <c r="F462" s="5"/>
      <c r="G462" s="5"/>
      <c r="H462" s="5"/>
      <c r="I462">
        <v>2</v>
      </c>
      <c r="J462" s="1">
        <v>1</v>
      </c>
      <c r="K462" s="1">
        <v>1</v>
      </c>
      <c r="L462" s="9">
        <v>0.59</v>
      </c>
      <c r="M462" s="9">
        <v>-0.08</v>
      </c>
      <c r="N462" s="9">
        <v>-0.13</v>
      </c>
      <c r="O462" s="9">
        <f>LN(337.46)</f>
        <v>5.8214469847701915</v>
      </c>
      <c r="P462" s="12">
        <v>-0.1</v>
      </c>
      <c r="Q462" s="9">
        <v>16.373767106926984</v>
      </c>
      <c r="R462" s="9">
        <v>0.5</v>
      </c>
      <c r="S462" s="9">
        <v>0.36027644091154504</v>
      </c>
    </row>
    <row r="463" spans="1:19" ht="15.6" x14ac:dyDescent="0.3">
      <c r="A463" s="13" t="s">
        <v>190</v>
      </c>
      <c r="B463" s="2" t="s">
        <v>110</v>
      </c>
      <c r="C463" s="1">
        <v>2021</v>
      </c>
      <c r="D463" s="4" t="s">
        <v>167</v>
      </c>
      <c r="E463" s="5">
        <v>74.900000000000006</v>
      </c>
      <c r="F463" s="5">
        <v>58.8</v>
      </c>
      <c r="G463" s="5">
        <v>82.6</v>
      </c>
      <c r="H463" s="5">
        <v>80</v>
      </c>
      <c r="I463">
        <v>2</v>
      </c>
      <c r="J463" s="1">
        <v>1</v>
      </c>
      <c r="K463" s="1">
        <v>1</v>
      </c>
      <c r="L463" s="9">
        <v>0.55000000000000004</v>
      </c>
      <c r="M463" s="9">
        <v>3.18</v>
      </c>
      <c r="N463" s="9">
        <v>5.24</v>
      </c>
      <c r="O463" s="9">
        <f>LN(373.78)</f>
        <v>5.9236673890421567</v>
      </c>
      <c r="P463" s="12">
        <v>2.5</v>
      </c>
      <c r="Q463" s="9">
        <v>16.438315095015124</v>
      </c>
      <c r="R463" s="9">
        <v>0.45454545454545453</v>
      </c>
      <c r="S463" s="9">
        <v>0.3928366595761672</v>
      </c>
    </row>
    <row r="464" spans="1:19" ht="15.6" x14ac:dyDescent="0.3">
      <c r="A464" s="13" t="s">
        <v>190</v>
      </c>
      <c r="B464" s="2" t="s">
        <v>110</v>
      </c>
      <c r="C464" s="1">
        <v>2022</v>
      </c>
      <c r="D464" s="4" t="s">
        <v>167</v>
      </c>
      <c r="E464" s="5">
        <v>81.3</v>
      </c>
      <c r="F464" s="5">
        <v>73.3</v>
      </c>
      <c r="G464" s="5">
        <v>84.6</v>
      </c>
      <c r="H464" s="5">
        <v>84.4</v>
      </c>
      <c r="I464">
        <v>2</v>
      </c>
      <c r="J464" s="1">
        <v>1</v>
      </c>
      <c r="K464" s="1">
        <v>1</v>
      </c>
      <c r="L464" s="9">
        <v>0.53</v>
      </c>
      <c r="M464" s="9">
        <v>2.91</v>
      </c>
      <c r="N464" s="9">
        <v>4.76</v>
      </c>
      <c r="O464" s="9">
        <f>LN(407.61)</f>
        <v>6.0103108349043417</v>
      </c>
      <c r="P464" s="12">
        <v>3.4</v>
      </c>
      <c r="Q464" s="9">
        <v>16.468746818329869</v>
      </c>
      <c r="R464" s="9">
        <v>0.5</v>
      </c>
      <c r="S464" s="9">
        <v>0.3887409498603478</v>
      </c>
    </row>
    <row r="465" spans="1:19" ht="15.6" x14ac:dyDescent="0.3">
      <c r="A465" s="13" t="s">
        <v>190</v>
      </c>
      <c r="B465" s="2" t="s">
        <v>110</v>
      </c>
      <c r="C465" s="1">
        <v>2023</v>
      </c>
      <c r="D465" s="4" t="s">
        <v>167</v>
      </c>
      <c r="E465" s="5">
        <v>74.900000000000006</v>
      </c>
      <c r="F465" s="5">
        <v>58.8</v>
      </c>
      <c r="G465" s="5">
        <v>82.6</v>
      </c>
      <c r="H465" s="5">
        <v>80</v>
      </c>
      <c r="I465">
        <v>2</v>
      </c>
      <c r="J465" s="1">
        <v>1</v>
      </c>
      <c r="K465" s="1">
        <v>1</v>
      </c>
      <c r="L465" s="9">
        <v>0.5</v>
      </c>
      <c r="M465" s="9">
        <v>3.26</v>
      </c>
      <c r="N465" s="9">
        <v>5.31</v>
      </c>
      <c r="O465" s="9">
        <f>LN(399.71)</f>
        <v>5.9907392841683871</v>
      </c>
      <c r="P465" s="12">
        <v>2.5</v>
      </c>
      <c r="Q465" s="9">
        <v>16.466614746197266</v>
      </c>
      <c r="R465" s="9">
        <v>0.46153846153846156</v>
      </c>
      <c r="S465" s="9">
        <v>0.38570966619137942</v>
      </c>
    </row>
    <row r="466" spans="1:19" ht="15.6" x14ac:dyDescent="0.3">
      <c r="A466" s="13" t="s">
        <v>191</v>
      </c>
      <c r="B466" s="2" t="s">
        <v>111</v>
      </c>
      <c r="C466" s="1">
        <v>2016</v>
      </c>
      <c r="D466" s="4" t="s">
        <v>158</v>
      </c>
      <c r="E466" s="5"/>
      <c r="F466" s="5"/>
      <c r="G466" s="5"/>
      <c r="H466" s="5"/>
      <c r="I466">
        <v>0</v>
      </c>
      <c r="J466" s="1">
        <v>0</v>
      </c>
      <c r="K466" s="1">
        <v>0</v>
      </c>
      <c r="L466" s="9"/>
      <c r="M466" s="9"/>
      <c r="N466" s="9"/>
      <c r="O466" s="9">
        <f>LN(301.26)</f>
        <v>5.7079736792746694</v>
      </c>
      <c r="P466" s="12">
        <v>2.1</v>
      </c>
      <c r="Q466" s="9"/>
      <c r="R466" s="9"/>
      <c r="S466" s="9"/>
    </row>
    <row r="467" spans="1:19" ht="15.6" x14ac:dyDescent="0.3">
      <c r="A467" s="13" t="s">
        <v>191</v>
      </c>
      <c r="B467" s="2" t="s">
        <v>111</v>
      </c>
      <c r="C467" s="1">
        <v>2017</v>
      </c>
      <c r="D467" s="4" t="s">
        <v>158</v>
      </c>
      <c r="E467" s="5"/>
      <c r="F467" s="5"/>
      <c r="G467" s="5"/>
      <c r="H467" s="5"/>
      <c r="I467">
        <v>0</v>
      </c>
      <c r="J467" s="1">
        <v>0</v>
      </c>
      <c r="K467" s="1">
        <v>0</v>
      </c>
      <c r="L467" s="9"/>
      <c r="M467" s="9">
        <v>21.75</v>
      </c>
      <c r="N467" s="9">
        <v>60.13</v>
      </c>
      <c r="O467" s="9">
        <f>LN(319.11)</f>
        <v>5.7655358709316831</v>
      </c>
      <c r="P467" s="9">
        <v>3.9</v>
      </c>
      <c r="Q467" s="9">
        <v>12.378810929097067</v>
      </c>
      <c r="R467" s="9"/>
      <c r="S467" s="9">
        <v>0.63832132295097832</v>
      </c>
    </row>
    <row r="468" spans="1:19" ht="15.6" x14ac:dyDescent="0.3">
      <c r="A468" s="13" t="s">
        <v>191</v>
      </c>
      <c r="B468" s="2" t="s">
        <v>111</v>
      </c>
      <c r="C468" s="1">
        <v>2018</v>
      </c>
      <c r="D468" s="4" t="s">
        <v>158</v>
      </c>
      <c r="E468" s="5"/>
      <c r="F468" s="5"/>
      <c r="G468" s="5"/>
      <c r="H468" s="5"/>
      <c r="I468">
        <v>0</v>
      </c>
      <c r="J468" s="1">
        <v>0</v>
      </c>
      <c r="K468" s="1">
        <v>0</v>
      </c>
      <c r="L468" s="9"/>
      <c r="M468" s="9">
        <v>22.29</v>
      </c>
      <c r="N468" s="9">
        <v>58.78</v>
      </c>
      <c r="O468" s="9">
        <f>LN(358.79)</f>
        <v>5.8827372591162019</v>
      </c>
      <c r="P468" s="9">
        <v>0.9</v>
      </c>
      <c r="Q468" s="9">
        <v>12.719877826005156</v>
      </c>
      <c r="R468" s="9"/>
      <c r="S468" s="9">
        <v>0.62087530808068725</v>
      </c>
    </row>
    <row r="469" spans="1:19" ht="15.6" x14ac:dyDescent="0.3">
      <c r="A469" s="13" t="s">
        <v>191</v>
      </c>
      <c r="B469" s="2" t="s">
        <v>111</v>
      </c>
      <c r="C469" s="1">
        <v>2019</v>
      </c>
      <c r="D469" s="4" t="s">
        <v>158</v>
      </c>
      <c r="E469" s="5"/>
      <c r="F469" s="5"/>
      <c r="G469" s="5"/>
      <c r="H469" s="5"/>
      <c r="I469">
        <v>0</v>
      </c>
      <c r="J469" s="1">
        <v>0</v>
      </c>
      <c r="K469" s="1">
        <v>0</v>
      </c>
      <c r="L469" s="9"/>
      <c r="M469" s="9">
        <v>17.41</v>
      </c>
      <c r="N469" s="9">
        <v>93.27</v>
      </c>
      <c r="O469" s="9">
        <f>LN(365.18)</f>
        <v>5.9003903827085873</v>
      </c>
      <c r="P469" s="12">
        <v>0.7</v>
      </c>
      <c r="Q469" s="9">
        <v>13.007369947178121</v>
      </c>
      <c r="R469" s="9">
        <v>0.6</v>
      </c>
      <c r="S469" s="9">
        <v>0.81333270508833577</v>
      </c>
    </row>
    <row r="470" spans="1:19" ht="15.6" x14ac:dyDescent="0.3">
      <c r="A470" s="13" t="s">
        <v>191</v>
      </c>
      <c r="B470" s="2" t="s">
        <v>111</v>
      </c>
      <c r="C470" s="1">
        <v>2020</v>
      </c>
      <c r="D470" s="4" t="s">
        <v>158</v>
      </c>
      <c r="E470" s="5"/>
      <c r="F470" s="5"/>
      <c r="G470" s="5"/>
      <c r="H470" s="5"/>
      <c r="I470">
        <v>1.4</v>
      </c>
      <c r="J470" s="1">
        <v>1</v>
      </c>
      <c r="K470" s="1">
        <v>0.4</v>
      </c>
      <c r="L470" s="9">
        <v>8.69</v>
      </c>
      <c r="M470" s="9">
        <v>14.97</v>
      </c>
      <c r="N470" s="9">
        <v>38.46</v>
      </c>
      <c r="O470" s="9">
        <f>LN(337.46)</f>
        <v>5.8214469847701915</v>
      </c>
      <c r="P470" s="12">
        <v>-0.1</v>
      </c>
      <c r="Q470" s="9">
        <v>13.238224567498014</v>
      </c>
      <c r="R470" s="9">
        <v>0.6</v>
      </c>
      <c r="S470" s="9">
        <v>0.61088133661073707</v>
      </c>
    </row>
    <row r="471" spans="1:19" ht="15.6" x14ac:dyDescent="0.3">
      <c r="A471" s="13" t="s">
        <v>191</v>
      </c>
      <c r="B471" s="2" t="s">
        <v>111</v>
      </c>
      <c r="C471" s="1">
        <v>2021</v>
      </c>
      <c r="D471" s="4" t="s">
        <v>158</v>
      </c>
      <c r="E471" s="5">
        <v>54.8</v>
      </c>
      <c r="F471" s="5">
        <v>41.8</v>
      </c>
      <c r="G471" s="5">
        <v>53.4</v>
      </c>
      <c r="H471" s="5">
        <v>62.9</v>
      </c>
      <c r="I471">
        <v>1.6</v>
      </c>
      <c r="J471" s="1">
        <v>1</v>
      </c>
      <c r="K471" s="1">
        <v>0.6</v>
      </c>
      <c r="L471" s="9">
        <v>8.4</v>
      </c>
      <c r="M471" s="9">
        <v>15.99</v>
      </c>
      <c r="N471" s="9">
        <v>37.58</v>
      </c>
      <c r="O471" s="9">
        <f>LN(373.78)</f>
        <v>5.9236673890421567</v>
      </c>
      <c r="P471" s="12">
        <v>2.5</v>
      </c>
      <c r="Q471" s="9">
        <v>13.379630055844567</v>
      </c>
      <c r="R471" s="9">
        <v>0.66666666666666663</v>
      </c>
      <c r="S471" s="9">
        <v>0.57446864441506429</v>
      </c>
    </row>
    <row r="472" spans="1:19" ht="15.6" x14ac:dyDescent="0.3">
      <c r="A472" s="13" t="s">
        <v>191</v>
      </c>
      <c r="B472" s="2" t="s">
        <v>111</v>
      </c>
      <c r="C472" s="1">
        <v>2022</v>
      </c>
      <c r="D472" s="4" t="s">
        <v>158</v>
      </c>
      <c r="E472" s="5">
        <v>57.9</v>
      </c>
      <c r="F472" s="5">
        <v>49.2</v>
      </c>
      <c r="G472" s="5">
        <v>52.1</v>
      </c>
      <c r="H472" s="5">
        <v>68.8</v>
      </c>
      <c r="I472">
        <v>2</v>
      </c>
      <c r="J472" s="1">
        <v>1</v>
      </c>
      <c r="K472" s="1">
        <v>1</v>
      </c>
      <c r="L472" s="9">
        <v>5.68</v>
      </c>
      <c r="M472" s="9">
        <v>14.23</v>
      </c>
      <c r="N472" s="9">
        <v>33.01</v>
      </c>
      <c r="O472" s="9">
        <f>LN(407.61)</f>
        <v>6.0103108349043417</v>
      </c>
      <c r="P472" s="12">
        <v>3.4</v>
      </c>
      <c r="Q472" s="9">
        <v>13.532003756922968</v>
      </c>
      <c r="R472" s="9">
        <v>0.66666666666666663</v>
      </c>
      <c r="S472" s="9">
        <v>0.56888379022171232</v>
      </c>
    </row>
    <row r="473" spans="1:19" ht="15.6" x14ac:dyDescent="0.3">
      <c r="A473" s="13" t="s">
        <v>191</v>
      </c>
      <c r="B473" s="2" t="s">
        <v>111</v>
      </c>
      <c r="C473" s="1">
        <v>2023</v>
      </c>
      <c r="D473" s="4" t="s">
        <v>158</v>
      </c>
      <c r="E473" s="5">
        <v>54.8</v>
      </c>
      <c r="F473" s="5">
        <v>41.8</v>
      </c>
      <c r="G473" s="5">
        <v>53.4</v>
      </c>
      <c r="H473" s="5">
        <v>62.9</v>
      </c>
      <c r="I473">
        <v>1.5</v>
      </c>
      <c r="J473" s="1">
        <v>0.5</v>
      </c>
      <c r="K473" s="1">
        <v>1</v>
      </c>
      <c r="L473" s="9">
        <v>3.86</v>
      </c>
      <c r="M473" s="9">
        <v>15.79</v>
      </c>
      <c r="N473" s="9">
        <v>32.130000000000003</v>
      </c>
      <c r="O473" s="9">
        <f>LN(399.71)</f>
        <v>5.9907392841683871</v>
      </c>
      <c r="P473" s="12">
        <v>2.5</v>
      </c>
      <c r="Q473" s="9">
        <v>13.558511574600512</v>
      </c>
      <c r="R473" s="9">
        <v>0.66666666666666663</v>
      </c>
      <c r="S473" s="9">
        <v>0.50851275393764162</v>
      </c>
    </row>
    <row r="474" spans="1:19" ht="15.6" x14ac:dyDescent="0.3">
      <c r="A474" s="13" t="s">
        <v>192</v>
      </c>
      <c r="B474" s="2" t="s">
        <v>112</v>
      </c>
      <c r="C474" s="1">
        <v>2016</v>
      </c>
      <c r="D474" s="4" t="s">
        <v>161</v>
      </c>
      <c r="E474" s="5"/>
      <c r="F474" s="5"/>
      <c r="G474" s="5"/>
      <c r="H474" s="5"/>
      <c r="I474">
        <v>0.4</v>
      </c>
      <c r="J474" s="1">
        <v>0</v>
      </c>
      <c r="K474" s="1">
        <v>0.4</v>
      </c>
      <c r="L474" s="9">
        <v>6.54</v>
      </c>
      <c r="M474" s="9">
        <v>19.72</v>
      </c>
      <c r="N474" s="9">
        <v>35.71</v>
      </c>
      <c r="O474" s="9">
        <f>LN(301.26)</f>
        <v>5.7079736792746694</v>
      </c>
      <c r="P474" s="12">
        <v>2.1</v>
      </c>
      <c r="Q474" s="9">
        <v>12.101200899294</v>
      </c>
      <c r="R474" s="9">
        <v>0.5</v>
      </c>
      <c r="S474" s="9">
        <v>0.44763115810048421</v>
      </c>
    </row>
    <row r="475" spans="1:19" ht="15.6" x14ac:dyDescent="0.3">
      <c r="A475" s="13" t="s">
        <v>192</v>
      </c>
      <c r="B475" s="2" t="s">
        <v>112</v>
      </c>
      <c r="C475" s="1">
        <v>2017</v>
      </c>
      <c r="D475" s="4" t="s">
        <v>161</v>
      </c>
      <c r="E475" s="5"/>
      <c r="F475" s="5"/>
      <c r="G475" s="5"/>
      <c r="H475" s="5"/>
      <c r="I475">
        <v>0.6</v>
      </c>
      <c r="J475" s="1">
        <v>0</v>
      </c>
      <c r="K475" s="1">
        <v>0.6</v>
      </c>
      <c r="L475" s="9">
        <v>9.14</v>
      </c>
      <c r="M475" s="9">
        <v>23.33</v>
      </c>
      <c r="N475" s="9">
        <v>36.51</v>
      </c>
      <c r="O475" s="9">
        <f>LN(319.11)</f>
        <v>5.7655358709316831</v>
      </c>
      <c r="P475" s="9">
        <v>3.9</v>
      </c>
      <c r="Q475" s="9">
        <v>12.211845947902015</v>
      </c>
      <c r="R475" s="9">
        <v>0.5</v>
      </c>
      <c r="S475" s="9">
        <v>0.3610097535270782</v>
      </c>
    </row>
    <row r="476" spans="1:19" ht="15.6" x14ac:dyDescent="0.3">
      <c r="A476" s="13" t="s">
        <v>192</v>
      </c>
      <c r="B476" s="2" t="s">
        <v>112</v>
      </c>
      <c r="C476" s="1">
        <v>2018</v>
      </c>
      <c r="D476" s="4" t="s">
        <v>161</v>
      </c>
      <c r="E476" s="5"/>
      <c r="F476" s="5"/>
      <c r="G476" s="5"/>
      <c r="H476" s="5"/>
      <c r="I476">
        <v>0.9</v>
      </c>
      <c r="J476" s="1">
        <v>0.5</v>
      </c>
      <c r="K476" s="1">
        <v>0.4</v>
      </c>
      <c r="L476" s="9">
        <v>7.14</v>
      </c>
      <c r="M476" s="9">
        <v>11.67</v>
      </c>
      <c r="N476" s="9">
        <v>22.87</v>
      </c>
      <c r="O476" s="9">
        <f>LN(358.79)</f>
        <v>5.8827372591162019</v>
      </c>
      <c r="P476" s="9">
        <v>0.9</v>
      </c>
      <c r="Q476" s="9">
        <v>12.271677785127977</v>
      </c>
      <c r="R476" s="9">
        <v>0.5</v>
      </c>
      <c r="S476" s="9">
        <v>0.36228524871114109</v>
      </c>
    </row>
    <row r="477" spans="1:19" ht="15.6" x14ac:dyDescent="0.3">
      <c r="A477" s="13" t="s">
        <v>192</v>
      </c>
      <c r="B477" s="2" t="s">
        <v>112</v>
      </c>
      <c r="C477" s="1">
        <v>2019</v>
      </c>
      <c r="D477" s="4" t="s">
        <v>161</v>
      </c>
      <c r="E477" s="5"/>
      <c r="F477" s="5"/>
      <c r="G477" s="5"/>
      <c r="H477" s="5"/>
      <c r="I477">
        <v>0.8</v>
      </c>
      <c r="J477" s="1">
        <v>0</v>
      </c>
      <c r="K477" s="1">
        <v>0.8</v>
      </c>
      <c r="L477" s="9">
        <v>3.85</v>
      </c>
      <c r="M477" s="9">
        <v>23.54</v>
      </c>
      <c r="N477" s="9">
        <v>42.81</v>
      </c>
      <c r="O477" s="9">
        <f>LN(365.18)</f>
        <v>5.9003903827085873</v>
      </c>
      <c r="P477" s="12">
        <v>0.7</v>
      </c>
      <c r="Q477" s="9">
        <v>12.435941531001323</v>
      </c>
      <c r="R477" s="9">
        <v>0.5</v>
      </c>
      <c r="S477" s="9">
        <v>0.3126462630171602</v>
      </c>
    </row>
    <row r="478" spans="1:19" ht="15.6" x14ac:dyDescent="0.3">
      <c r="A478" s="13" t="s">
        <v>192</v>
      </c>
      <c r="B478" s="2" t="s">
        <v>112</v>
      </c>
      <c r="C478" s="1">
        <v>2020</v>
      </c>
      <c r="D478" s="4" t="s">
        <v>161</v>
      </c>
      <c r="E478" s="5"/>
      <c r="F478" s="5"/>
      <c r="G478" s="5"/>
      <c r="H478" s="5"/>
      <c r="I478">
        <v>0.2</v>
      </c>
      <c r="J478" s="1">
        <v>0</v>
      </c>
      <c r="K478" s="1">
        <v>0.2</v>
      </c>
      <c r="L478" s="9">
        <v>4.9800000000000004</v>
      </c>
      <c r="M478" s="9">
        <v>18.96</v>
      </c>
      <c r="N478" s="9">
        <v>23.51</v>
      </c>
      <c r="O478" s="9">
        <f>LN(337.46)</f>
        <v>5.8214469847701915</v>
      </c>
      <c r="P478" s="12">
        <v>-0.1</v>
      </c>
      <c r="Q478" s="9">
        <v>12.774325313718354</v>
      </c>
      <c r="R478" s="9">
        <v>0.5</v>
      </c>
      <c r="S478" s="9">
        <v>0.19334005597162895</v>
      </c>
    </row>
    <row r="479" spans="1:19" ht="15.6" x14ac:dyDescent="0.3">
      <c r="A479" s="13" t="s">
        <v>192</v>
      </c>
      <c r="B479" s="2" t="s">
        <v>112</v>
      </c>
      <c r="C479" s="1">
        <v>2021</v>
      </c>
      <c r="D479" s="4" t="s">
        <v>161</v>
      </c>
      <c r="E479" s="5">
        <v>57.4</v>
      </c>
      <c r="F479" s="5">
        <v>27.9</v>
      </c>
      <c r="G479" s="5">
        <v>75.099999999999994</v>
      </c>
      <c r="H479" s="5">
        <v>51</v>
      </c>
      <c r="I479">
        <v>0.2</v>
      </c>
      <c r="J479" s="1">
        <v>0</v>
      </c>
      <c r="K479" s="1">
        <v>0.2</v>
      </c>
      <c r="L479" s="9">
        <v>4.21</v>
      </c>
      <c r="M479" s="9">
        <v>16.77</v>
      </c>
      <c r="N479" s="9">
        <v>20.5</v>
      </c>
      <c r="O479" s="9">
        <f>LN(373.78)</f>
        <v>5.9236673890421567</v>
      </c>
      <c r="P479" s="12">
        <v>2.5</v>
      </c>
      <c r="Q479" s="9">
        <v>13.019344562268882</v>
      </c>
      <c r="R479" s="9">
        <v>0.5</v>
      </c>
      <c r="S479" s="9">
        <v>0.18164968795379721</v>
      </c>
    </row>
    <row r="480" spans="1:19" ht="15.6" x14ac:dyDescent="0.3">
      <c r="A480" s="13" t="s">
        <v>192</v>
      </c>
      <c r="B480" s="2" t="s">
        <v>112</v>
      </c>
      <c r="C480" s="1">
        <v>2022</v>
      </c>
      <c r="D480" s="4" t="s">
        <v>161</v>
      </c>
      <c r="E480" s="5">
        <v>56.2</v>
      </c>
      <c r="F480" s="5">
        <v>29.9</v>
      </c>
      <c r="G480" s="5">
        <v>69.3</v>
      </c>
      <c r="H480" s="5">
        <v>52.8</v>
      </c>
      <c r="I480">
        <v>1.3</v>
      </c>
      <c r="J480" s="1">
        <v>0.5</v>
      </c>
      <c r="K480" s="1">
        <v>0.8</v>
      </c>
      <c r="L480" s="9">
        <v>2.56</v>
      </c>
      <c r="M480" s="9">
        <v>15.7</v>
      </c>
      <c r="N480" s="9">
        <v>21.3</v>
      </c>
      <c r="O480" s="9">
        <f>LN(407.61)</f>
        <v>6.0103108349043417</v>
      </c>
      <c r="P480" s="12">
        <v>3.4</v>
      </c>
      <c r="Q480" s="9">
        <v>13.262992769523104</v>
      </c>
      <c r="R480" s="9">
        <v>0.5</v>
      </c>
      <c r="S480" s="9">
        <v>0.26285710314005756</v>
      </c>
    </row>
    <row r="481" spans="1:19" ht="15.6" x14ac:dyDescent="0.3">
      <c r="A481" s="13" t="s">
        <v>192</v>
      </c>
      <c r="B481" s="2" t="s">
        <v>112</v>
      </c>
      <c r="C481" s="1">
        <v>2023</v>
      </c>
      <c r="D481" s="4" t="s">
        <v>161</v>
      </c>
      <c r="E481" s="5">
        <v>57.4</v>
      </c>
      <c r="F481" s="5">
        <v>27.9</v>
      </c>
      <c r="G481" s="5">
        <v>75.099999999999994</v>
      </c>
      <c r="H481" s="5">
        <v>51</v>
      </c>
      <c r="I481">
        <v>0.9</v>
      </c>
      <c r="J481" s="1">
        <v>0.5</v>
      </c>
      <c r="K481" s="1">
        <v>0.4</v>
      </c>
      <c r="L481" s="9">
        <v>1.91</v>
      </c>
      <c r="M481" s="9">
        <v>15.16</v>
      </c>
      <c r="N481" s="9">
        <v>22.16</v>
      </c>
      <c r="O481" s="9">
        <f>LN(399.71)</f>
        <v>5.9907392841683871</v>
      </c>
      <c r="P481" s="12">
        <v>2.5</v>
      </c>
      <c r="Q481" s="9">
        <v>13.459994941745387</v>
      </c>
      <c r="R481" s="9">
        <v>0.5</v>
      </c>
      <c r="S481" s="9">
        <v>0.31620891194785478</v>
      </c>
    </row>
    <row r="482" spans="1:19" ht="15.6" x14ac:dyDescent="0.3">
      <c r="A482" s="13" t="s">
        <v>193</v>
      </c>
      <c r="B482" s="2" t="s">
        <v>113</v>
      </c>
      <c r="C482" s="1">
        <v>2016</v>
      </c>
      <c r="D482" s="4" t="s">
        <v>161</v>
      </c>
      <c r="E482" s="5"/>
      <c r="F482" s="5"/>
      <c r="G482" s="5"/>
      <c r="H482" s="5"/>
      <c r="I482">
        <v>1.5</v>
      </c>
      <c r="J482" s="1">
        <v>0.5</v>
      </c>
      <c r="K482" s="1">
        <v>1</v>
      </c>
      <c r="L482" s="9"/>
      <c r="M482" s="9"/>
      <c r="N482" s="9"/>
      <c r="O482" s="9">
        <f>LN(301.26)</f>
        <v>5.7079736792746694</v>
      </c>
      <c r="P482" s="12">
        <v>2.1</v>
      </c>
      <c r="Q482" s="9"/>
      <c r="R482" s="9"/>
      <c r="S482" s="9"/>
    </row>
    <row r="483" spans="1:19" ht="15.6" x14ac:dyDescent="0.3">
      <c r="A483" s="13" t="s">
        <v>193</v>
      </c>
      <c r="B483" s="2" t="s">
        <v>113</v>
      </c>
      <c r="C483" s="1">
        <v>2017</v>
      </c>
      <c r="D483" s="4" t="s">
        <v>161</v>
      </c>
      <c r="E483" s="5"/>
      <c r="F483" s="5"/>
      <c r="G483" s="5"/>
      <c r="H483" s="5"/>
      <c r="I483">
        <v>1.5</v>
      </c>
      <c r="J483" s="1">
        <v>0.5</v>
      </c>
      <c r="K483" s="1">
        <v>1</v>
      </c>
      <c r="L483" s="9"/>
      <c r="M483" s="9"/>
      <c r="N483" s="9"/>
      <c r="O483" s="9">
        <f>LN(319.11)</f>
        <v>5.7655358709316831</v>
      </c>
      <c r="P483" s="9">
        <v>3.9</v>
      </c>
      <c r="Q483" s="9"/>
      <c r="R483" s="9"/>
      <c r="S483" s="9"/>
    </row>
    <row r="484" spans="1:19" ht="15.6" x14ac:dyDescent="0.3">
      <c r="A484" s="13" t="s">
        <v>193</v>
      </c>
      <c r="B484" s="2" t="s">
        <v>113</v>
      </c>
      <c r="C484" s="1">
        <v>2018</v>
      </c>
      <c r="D484" s="4" t="s">
        <v>161</v>
      </c>
      <c r="E484" s="5"/>
      <c r="F484" s="5"/>
      <c r="G484" s="5"/>
      <c r="H484" s="5"/>
      <c r="I484">
        <v>0.6</v>
      </c>
      <c r="J484" s="1">
        <v>0</v>
      </c>
      <c r="K484" s="1">
        <v>0.6</v>
      </c>
      <c r="L484" s="9"/>
      <c r="M484" s="9"/>
      <c r="N484" s="9"/>
      <c r="O484" s="9">
        <f>LN(358.79)</f>
        <v>5.8827372591162019</v>
      </c>
      <c r="P484" s="9">
        <v>0.9</v>
      </c>
      <c r="Q484" s="9"/>
      <c r="R484" s="9"/>
      <c r="S484" s="9"/>
    </row>
    <row r="485" spans="1:19" ht="15.6" x14ac:dyDescent="0.3">
      <c r="A485" s="13" t="s">
        <v>193</v>
      </c>
      <c r="B485" s="2" t="s">
        <v>113</v>
      </c>
      <c r="C485" s="1">
        <v>2019</v>
      </c>
      <c r="D485" s="4" t="s">
        <v>161</v>
      </c>
      <c r="E485" s="5"/>
      <c r="F485" s="5"/>
      <c r="G485" s="5"/>
      <c r="H485" s="5"/>
      <c r="I485">
        <v>0.8</v>
      </c>
      <c r="J485" s="1">
        <v>0</v>
      </c>
      <c r="K485" s="1">
        <v>0.8</v>
      </c>
      <c r="L485" s="9"/>
      <c r="M485" s="9">
        <v>1.64</v>
      </c>
      <c r="N485" s="9">
        <v>6.16</v>
      </c>
      <c r="O485" s="9">
        <f>LN(365.18)</f>
        <v>5.9003903827085873</v>
      </c>
      <c r="P485" s="12">
        <v>0.7</v>
      </c>
      <c r="Q485" s="9">
        <v>11.267651328768025</v>
      </c>
      <c r="R485" s="9"/>
      <c r="S485" s="9">
        <v>0.73322342777543481</v>
      </c>
    </row>
    <row r="486" spans="1:19" ht="15.6" x14ac:dyDescent="0.3">
      <c r="A486" s="13" t="s">
        <v>193</v>
      </c>
      <c r="B486" s="2" t="s">
        <v>113</v>
      </c>
      <c r="C486" s="1">
        <v>2020</v>
      </c>
      <c r="D486" s="4" t="s">
        <v>161</v>
      </c>
      <c r="E486" s="5"/>
      <c r="F486" s="5"/>
      <c r="G486" s="5"/>
      <c r="H486" s="5"/>
      <c r="I486">
        <v>0.8</v>
      </c>
      <c r="J486" s="1">
        <v>0</v>
      </c>
      <c r="K486" s="1">
        <v>0.8</v>
      </c>
      <c r="L486" s="9"/>
      <c r="M486" s="9">
        <v>6.5</v>
      </c>
      <c r="N486" s="9">
        <v>27.29</v>
      </c>
      <c r="O486" s="9">
        <f>LN(337.46)</f>
        <v>5.8214469847701915</v>
      </c>
      <c r="P486" s="12">
        <v>-0.1</v>
      </c>
      <c r="Q486" s="9">
        <v>11.67530788515103</v>
      </c>
      <c r="R486" s="9"/>
      <c r="S486" s="9">
        <v>0.76193350392328552</v>
      </c>
    </row>
    <row r="487" spans="1:19" ht="15.6" x14ac:dyDescent="0.3">
      <c r="A487" s="13" t="s">
        <v>193</v>
      </c>
      <c r="B487" s="2" t="s">
        <v>113</v>
      </c>
      <c r="C487" s="1">
        <v>2021</v>
      </c>
      <c r="D487" s="4" t="s">
        <v>161</v>
      </c>
      <c r="E487" s="5"/>
      <c r="F487" s="5"/>
      <c r="G487" s="5"/>
      <c r="H487" s="5"/>
      <c r="I487">
        <v>1</v>
      </c>
      <c r="J487" s="1">
        <v>0</v>
      </c>
      <c r="K487" s="1">
        <v>1</v>
      </c>
      <c r="L487" s="9"/>
      <c r="M487" s="9">
        <v>9.82</v>
      </c>
      <c r="N487" s="9">
        <v>37.590000000000003</v>
      </c>
      <c r="O487" s="9">
        <f>LN(373.78)</f>
        <v>5.9236673890421567</v>
      </c>
      <c r="P487" s="12">
        <v>2.5</v>
      </c>
      <c r="Q487" s="9">
        <v>11.885550526772002</v>
      </c>
      <c r="R487" s="9">
        <v>0.5</v>
      </c>
      <c r="S487" s="9">
        <v>0.73862931782796204</v>
      </c>
    </row>
    <row r="488" spans="1:19" ht="15.6" x14ac:dyDescent="0.3">
      <c r="A488" s="13" t="s">
        <v>193</v>
      </c>
      <c r="B488" s="2" t="s">
        <v>113</v>
      </c>
      <c r="C488" s="1">
        <v>2022</v>
      </c>
      <c r="D488" s="4" t="s">
        <v>161</v>
      </c>
      <c r="E488" s="5"/>
      <c r="F488" s="5"/>
      <c r="G488" s="5"/>
      <c r="H488" s="5"/>
      <c r="I488">
        <v>1.5</v>
      </c>
      <c r="J488" s="1">
        <v>0.5</v>
      </c>
      <c r="K488" s="1">
        <v>1</v>
      </c>
      <c r="L488" s="9"/>
      <c r="M488" s="9">
        <v>11.18</v>
      </c>
      <c r="N488" s="9">
        <v>37.229999999999997</v>
      </c>
      <c r="O488" s="9">
        <f>LN(407.61)</f>
        <v>6.0103108349043417</v>
      </c>
      <c r="P488" s="12">
        <v>3.4</v>
      </c>
      <c r="Q488" s="9">
        <v>12.059722297193982</v>
      </c>
      <c r="R488" s="9">
        <v>0.5</v>
      </c>
      <c r="S488" s="9">
        <v>0.69958499979741973</v>
      </c>
    </row>
    <row r="489" spans="1:19" ht="15.6" x14ac:dyDescent="0.3">
      <c r="A489" s="13" t="s">
        <v>193</v>
      </c>
      <c r="B489" s="2" t="s">
        <v>113</v>
      </c>
      <c r="C489" s="1">
        <v>2023</v>
      </c>
      <c r="D489" s="4" t="s">
        <v>161</v>
      </c>
      <c r="E489" s="5"/>
      <c r="F489" s="5"/>
      <c r="G489" s="5"/>
      <c r="H489" s="5"/>
      <c r="I489">
        <v>1.5</v>
      </c>
      <c r="J489" s="1">
        <v>0.5</v>
      </c>
      <c r="K489" s="1">
        <v>1</v>
      </c>
      <c r="L489" s="9">
        <v>4.26</v>
      </c>
      <c r="M489" s="9">
        <v>8.2799999999999994</v>
      </c>
      <c r="N489" s="9">
        <v>14.41</v>
      </c>
      <c r="O489" s="9">
        <f>LN(399.71)</f>
        <v>5.9907392841683871</v>
      </c>
      <c r="P489" s="12">
        <v>2.5</v>
      </c>
      <c r="Q489" s="9">
        <v>11.983222801079879</v>
      </c>
      <c r="R489" s="9">
        <v>0.5</v>
      </c>
      <c r="S489" s="9">
        <v>0.4256562134872881</v>
      </c>
    </row>
    <row r="490" spans="1:19" ht="15.6" x14ac:dyDescent="0.3">
      <c r="A490" s="13" t="s">
        <v>194</v>
      </c>
      <c r="B490" s="2" t="s">
        <v>114</v>
      </c>
      <c r="C490" s="1">
        <v>2016</v>
      </c>
      <c r="D490" s="4" t="s">
        <v>158</v>
      </c>
      <c r="E490" s="5"/>
      <c r="F490" s="5"/>
      <c r="G490" s="5"/>
      <c r="H490" s="5"/>
      <c r="I490">
        <v>0</v>
      </c>
      <c r="J490" s="1">
        <v>0</v>
      </c>
      <c r="K490" s="1">
        <v>0</v>
      </c>
      <c r="L490" s="9">
        <v>7.35</v>
      </c>
      <c r="M490" s="9">
        <v>25.54</v>
      </c>
      <c r="N490" s="9">
        <v>98.44</v>
      </c>
      <c r="O490" s="9">
        <f>LN(301.26)</f>
        <v>5.7079736792746694</v>
      </c>
      <c r="P490" s="12">
        <v>2.1</v>
      </c>
      <c r="Q490" s="9">
        <v>13.228681834090104</v>
      </c>
      <c r="R490" s="9">
        <v>0.33333333333333331</v>
      </c>
      <c r="S490" s="9">
        <v>0.74055185510207022</v>
      </c>
    </row>
    <row r="491" spans="1:19" ht="15.6" x14ac:dyDescent="0.3">
      <c r="A491" s="13" t="s">
        <v>194</v>
      </c>
      <c r="B491" s="2" t="s">
        <v>114</v>
      </c>
      <c r="C491" s="1">
        <v>2017</v>
      </c>
      <c r="D491" s="4" t="s">
        <v>158</v>
      </c>
      <c r="E491" s="5"/>
      <c r="F491" s="5"/>
      <c r="G491" s="5"/>
      <c r="H491" s="5"/>
      <c r="I491">
        <v>0.4</v>
      </c>
      <c r="J491" s="1">
        <v>0</v>
      </c>
      <c r="K491" s="1">
        <v>0.4</v>
      </c>
      <c r="L491" s="9">
        <v>9.25</v>
      </c>
      <c r="M491" s="9">
        <v>24.56</v>
      </c>
      <c r="N491" s="9">
        <v>101.05</v>
      </c>
      <c r="O491" s="9">
        <f>LN(319.11)</f>
        <v>5.7655358709316831</v>
      </c>
      <c r="P491" s="9">
        <v>3.9</v>
      </c>
      <c r="Q491" s="9">
        <v>13.375795561656236</v>
      </c>
      <c r="R491" s="9">
        <v>0.4</v>
      </c>
      <c r="S491" s="9">
        <v>0.75699760951227846</v>
      </c>
    </row>
    <row r="492" spans="1:19" ht="15.6" x14ac:dyDescent="0.3">
      <c r="A492" s="13" t="s">
        <v>194</v>
      </c>
      <c r="B492" s="2" t="s">
        <v>114</v>
      </c>
      <c r="C492" s="1">
        <v>2018</v>
      </c>
      <c r="D492" s="4" t="s">
        <v>158</v>
      </c>
      <c r="E492" s="5"/>
      <c r="F492" s="5"/>
      <c r="G492" s="5"/>
      <c r="H492" s="5"/>
      <c r="I492">
        <v>0.8</v>
      </c>
      <c r="J492" s="1">
        <v>0</v>
      </c>
      <c r="K492" s="1">
        <v>0.8</v>
      </c>
      <c r="L492" s="9">
        <v>12.14</v>
      </c>
      <c r="M492" s="9">
        <v>23.14</v>
      </c>
      <c r="N492" s="9">
        <v>100.7</v>
      </c>
      <c r="O492" s="9">
        <f>LN(358.79)</f>
        <v>5.8827372591162019</v>
      </c>
      <c r="P492" s="9">
        <v>0.9</v>
      </c>
      <c r="Q492" s="9">
        <v>13.441542663426052</v>
      </c>
      <c r="R492" s="9">
        <v>0.4</v>
      </c>
      <c r="S492" s="9">
        <v>0.77019007295068742</v>
      </c>
    </row>
    <row r="493" spans="1:19" ht="15.6" x14ac:dyDescent="0.3">
      <c r="A493" s="13" t="s">
        <v>194</v>
      </c>
      <c r="B493" s="2" t="s">
        <v>114</v>
      </c>
      <c r="C493" s="1">
        <v>2019</v>
      </c>
      <c r="D493" s="4" t="s">
        <v>158</v>
      </c>
      <c r="E493" s="5"/>
      <c r="F493" s="5"/>
      <c r="G493" s="5"/>
      <c r="H493" s="5"/>
      <c r="I493">
        <v>0.8</v>
      </c>
      <c r="J493" s="1">
        <v>0</v>
      </c>
      <c r="K493" s="1">
        <v>0.8</v>
      </c>
      <c r="L493" s="9">
        <v>12.64</v>
      </c>
      <c r="M493" s="9">
        <v>24.68</v>
      </c>
      <c r="N493" s="9">
        <v>101.2</v>
      </c>
      <c r="O493" s="9">
        <f>LN(365.18)</f>
        <v>5.9003903827085873</v>
      </c>
      <c r="P493" s="12">
        <v>0.7</v>
      </c>
      <c r="Q493" s="9">
        <v>13.4093872332791</v>
      </c>
      <c r="R493" s="9">
        <v>0.45454545454545453</v>
      </c>
      <c r="S493" s="9">
        <v>0.75612853257443402</v>
      </c>
    </row>
    <row r="494" spans="1:19" ht="15.6" x14ac:dyDescent="0.3">
      <c r="A494" s="13" t="s">
        <v>194</v>
      </c>
      <c r="B494" s="2" t="s">
        <v>114</v>
      </c>
      <c r="C494" s="1">
        <v>2020</v>
      </c>
      <c r="D494" s="4" t="s">
        <v>158</v>
      </c>
      <c r="E494" s="5"/>
      <c r="F494" s="5"/>
      <c r="G494" s="5"/>
      <c r="H494" s="5"/>
      <c r="I494">
        <v>0.8</v>
      </c>
      <c r="J494" s="1">
        <v>0</v>
      </c>
      <c r="K494" s="1">
        <v>0.8</v>
      </c>
      <c r="L494" s="9">
        <v>11.38</v>
      </c>
      <c r="M494" s="9">
        <v>19.32</v>
      </c>
      <c r="N494" s="9">
        <v>99.21</v>
      </c>
      <c r="O494" s="9">
        <f>LN(337.46)</f>
        <v>5.8214469847701915</v>
      </c>
      <c r="P494" s="12">
        <v>-0.1</v>
      </c>
      <c r="Q494" s="9">
        <v>13.477271761895341</v>
      </c>
      <c r="R494" s="9">
        <v>0.45454545454545453</v>
      </c>
      <c r="S494" s="9">
        <v>0.80529153956733635</v>
      </c>
    </row>
    <row r="495" spans="1:19" ht="15.6" x14ac:dyDescent="0.3">
      <c r="A495" s="13" t="s">
        <v>194</v>
      </c>
      <c r="B495" s="2" t="s">
        <v>114</v>
      </c>
      <c r="C495" s="1">
        <v>2021</v>
      </c>
      <c r="D495" s="4" t="s">
        <v>158</v>
      </c>
      <c r="E495" s="5">
        <v>91.6</v>
      </c>
      <c r="F495" s="5">
        <v>94.6</v>
      </c>
      <c r="G495" s="5">
        <v>97.3</v>
      </c>
      <c r="H495" s="5">
        <v>78.5</v>
      </c>
      <c r="I495">
        <v>1.3</v>
      </c>
      <c r="J495" s="1">
        <v>0.5</v>
      </c>
      <c r="K495" s="1">
        <v>0.8</v>
      </c>
      <c r="L495" s="9">
        <v>10.54</v>
      </c>
      <c r="M495" s="9">
        <v>19.09</v>
      </c>
      <c r="N495" s="9">
        <v>97.79</v>
      </c>
      <c r="O495" s="9">
        <f>LN(373.78)</f>
        <v>5.9236673890421567</v>
      </c>
      <c r="P495" s="12">
        <v>2.5</v>
      </c>
      <c r="Q495" s="9">
        <v>13.479699302846649</v>
      </c>
      <c r="R495" s="9">
        <v>0.41666666666666669</v>
      </c>
      <c r="S495" s="9">
        <v>0.80478147848642478</v>
      </c>
    </row>
    <row r="496" spans="1:19" ht="15.6" x14ac:dyDescent="0.3">
      <c r="A496" s="13" t="s">
        <v>194</v>
      </c>
      <c r="B496" s="2" t="s">
        <v>114</v>
      </c>
      <c r="C496" s="1">
        <v>2022</v>
      </c>
      <c r="D496" s="4" t="s">
        <v>158</v>
      </c>
      <c r="E496" s="5">
        <v>90.4</v>
      </c>
      <c r="F496" s="5">
        <v>90.3</v>
      </c>
      <c r="G496" s="5">
        <v>97.3</v>
      </c>
      <c r="H496" s="5">
        <v>78.400000000000006</v>
      </c>
      <c r="I496">
        <v>1.3</v>
      </c>
      <c r="J496" s="1">
        <v>0.5</v>
      </c>
      <c r="K496" s="1">
        <v>0.8</v>
      </c>
      <c r="L496" s="9">
        <v>9.24</v>
      </c>
      <c r="M496" s="9">
        <v>17.45</v>
      </c>
      <c r="N496" s="9">
        <v>99.05</v>
      </c>
      <c r="O496" s="9">
        <f>LN(407.61)</f>
        <v>6.0103108349043417</v>
      </c>
      <c r="P496" s="12">
        <v>3.4</v>
      </c>
      <c r="Q496" s="9">
        <v>13.599032244518826</v>
      </c>
      <c r="R496" s="9">
        <v>0.41666666666666669</v>
      </c>
      <c r="S496" s="9">
        <v>0.82377227292481525</v>
      </c>
    </row>
    <row r="497" spans="1:19" ht="15.6" x14ac:dyDescent="0.3">
      <c r="A497" s="13" t="s">
        <v>194</v>
      </c>
      <c r="B497" s="2" t="s">
        <v>114</v>
      </c>
      <c r="C497" s="1">
        <v>2023</v>
      </c>
      <c r="D497" s="4" t="s">
        <v>158</v>
      </c>
      <c r="E497" s="5">
        <v>91.6</v>
      </c>
      <c r="F497" s="5">
        <v>94.6</v>
      </c>
      <c r="G497" s="5">
        <v>97.3</v>
      </c>
      <c r="H497" s="5">
        <v>78.5</v>
      </c>
      <c r="I497">
        <v>1.3</v>
      </c>
      <c r="J497" s="1">
        <v>0.5</v>
      </c>
      <c r="K497" s="1">
        <v>0.8</v>
      </c>
      <c r="L497" s="9">
        <v>7.73</v>
      </c>
      <c r="M497" s="9">
        <v>18.489999999999998</v>
      </c>
      <c r="N497" s="9">
        <v>97.77</v>
      </c>
      <c r="O497" s="9">
        <f>LN(399.71)</f>
        <v>5.9907392841683871</v>
      </c>
      <c r="P497" s="12">
        <v>2.5</v>
      </c>
      <c r="Q497" s="9">
        <v>13.563651124051919</v>
      </c>
      <c r="R497" s="9">
        <v>0.46153846153846156</v>
      </c>
      <c r="S497" s="9">
        <v>0.8109124028434922</v>
      </c>
    </row>
    <row r="498" spans="1:19" ht="15.6" x14ac:dyDescent="0.3">
      <c r="A498" s="13" t="s">
        <v>195</v>
      </c>
      <c r="B498" s="2" t="s">
        <v>115</v>
      </c>
      <c r="C498" s="1">
        <v>2016</v>
      </c>
      <c r="D498" s="4" t="s">
        <v>158</v>
      </c>
      <c r="E498" s="5">
        <v>15.9</v>
      </c>
      <c r="F498" s="5"/>
      <c r="G498" s="5">
        <v>20.100000000000001</v>
      </c>
      <c r="H498" s="5">
        <v>19.7</v>
      </c>
      <c r="I498">
        <v>1.3</v>
      </c>
      <c r="J498" s="1">
        <v>0.5</v>
      </c>
      <c r="K498" s="1">
        <v>0.8</v>
      </c>
      <c r="L498" s="9"/>
      <c r="M498" s="9"/>
      <c r="N498" s="9"/>
      <c r="O498" s="9">
        <f>LN(301.26)</f>
        <v>5.7079736792746694</v>
      </c>
      <c r="P498" s="12">
        <v>2.1</v>
      </c>
      <c r="Q498" s="9"/>
      <c r="R498" s="9"/>
      <c r="S498" s="9"/>
    </row>
    <row r="499" spans="1:19" ht="15.6" x14ac:dyDescent="0.3">
      <c r="A499" s="13" t="s">
        <v>195</v>
      </c>
      <c r="B499" s="2" t="s">
        <v>115</v>
      </c>
      <c r="C499" s="1">
        <v>2017</v>
      </c>
      <c r="D499" s="4" t="s">
        <v>158</v>
      </c>
      <c r="E499" s="5">
        <v>17.899999999999999</v>
      </c>
      <c r="F499" s="5">
        <v>1.4</v>
      </c>
      <c r="G499" s="5">
        <v>22.3</v>
      </c>
      <c r="H499" s="5">
        <v>21.8</v>
      </c>
      <c r="I499">
        <v>1.3</v>
      </c>
      <c r="J499" s="1">
        <v>0.5</v>
      </c>
      <c r="K499" s="1">
        <v>0.8</v>
      </c>
      <c r="L499" s="9"/>
      <c r="M499" s="9"/>
      <c r="N499" s="9"/>
      <c r="O499" s="9">
        <f>LN(319.11)</f>
        <v>5.7655358709316831</v>
      </c>
      <c r="P499" s="9">
        <v>3.9</v>
      </c>
      <c r="Q499" s="9"/>
      <c r="R499" s="9"/>
      <c r="S499" s="9"/>
    </row>
    <row r="500" spans="1:19" ht="15.6" x14ac:dyDescent="0.3">
      <c r="A500" s="13" t="s">
        <v>195</v>
      </c>
      <c r="B500" s="2" t="s">
        <v>115</v>
      </c>
      <c r="C500" s="1">
        <v>2018</v>
      </c>
      <c r="D500" s="4" t="s">
        <v>158</v>
      </c>
      <c r="E500" s="5">
        <v>17.5</v>
      </c>
      <c r="F500" s="5">
        <v>7.3</v>
      </c>
      <c r="G500" s="5">
        <v>21.9</v>
      </c>
      <c r="H500" s="5">
        <v>16.600000000000001</v>
      </c>
      <c r="I500">
        <v>1.1000000000000001</v>
      </c>
      <c r="J500" s="1">
        <v>0.5</v>
      </c>
      <c r="K500" s="1">
        <v>0.6</v>
      </c>
      <c r="L500" s="9"/>
      <c r="M500" s="9"/>
      <c r="N500" s="9"/>
      <c r="O500" s="9">
        <f>LN(358.79)</f>
        <v>5.8827372591162019</v>
      </c>
      <c r="P500" s="9">
        <v>0.9</v>
      </c>
      <c r="Q500" s="9"/>
      <c r="R500" s="9"/>
      <c r="S500" s="9"/>
    </row>
    <row r="501" spans="1:19" ht="15.6" x14ac:dyDescent="0.3">
      <c r="A501" s="13" t="s">
        <v>195</v>
      </c>
      <c r="B501" s="2" t="s">
        <v>115</v>
      </c>
      <c r="C501" s="1">
        <v>2019</v>
      </c>
      <c r="D501" s="4" t="s">
        <v>158</v>
      </c>
      <c r="E501" s="5">
        <v>79.8</v>
      </c>
      <c r="F501" s="5">
        <v>72</v>
      </c>
      <c r="G501" s="5">
        <v>73.900000000000006</v>
      </c>
      <c r="H501" s="5">
        <v>98.7</v>
      </c>
      <c r="I501">
        <v>1.5</v>
      </c>
      <c r="J501" s="1">
        <v>0.5</v>
      </c>
      <c r="K501" s="1">
        <v>1</v>
      </c>
      <c r="L501" s="9"/>
      <c r="M501" s="9"/>
      <c r="N501" s="9"/>
      <c r="O501" s="9">
        <f>LN(365.18)</f>
        <v>5.9003903827085873</v>
      </c>
      <c r="P501" s="12">
        <v>0.7</v>
      </c>
      <c r="Q501" s="9"/>
      <c r="R501" s="9"/>
      <c r="S501" s="9"/>
    </row>
    <row r="502" spans="1:19" ht="15.6" x14ac:dyDescent="0.3">
      <c r="A502" s="13" t="s">
        <v>195</v>
      </c>
      <c r="B502" s="2" t="s">
        <v>115</v>
      </c>
      <c r="C502" s="1">
        <v>2020</v>
      </c>
      <c r="D502" s="4" t="s">
        <v>158</v>
      </c>
      <c r="E502" s="5">
        <v>80.2</v>
      </c>
      <c r="F502" s="5">
        <v>70.900000000000006</v>
      </c>
      <c r="G502" s="5">
        <v>76</v>
      </c>
      <c r="H502" s="5">
        <v>97.6</v>
      </c>
      <c r="I502">
        <v>1.4</v>
      </c>
      <c r="J502" s="1">
        <v>1</v>
      </c>
      <c r="K502" s="1">
        <v>0.4</v>
      </c>
      <c r="L502" s="9"/>
      <c r="M502" s="9"/>
      <c r="N502" s="9"/>
      <c r="O502" s="9">
        <f>LN(337.46)</f>
        <v>5.8214469847701915</v>
      </c>
      <c r="P502" s="12">
        <v>-0.1</v>
      </c>
      <c r="Q502" s="9"/>
      <c r="R502" s="9"/>
      <c r="S502" s="9"/>
    </row>
    <row r="503" spans="1:19" ht="15.6" x14ac:dyDescent="0.3">
      <c r="A503" s="13" t="s">
        <v>195</v>
      </c>
      <c r="B503" s="2" t="s">
        <v>115</v>
      </c>
      <c r="C503" s="1">
        <v>2021</v>
      </c>
      <c r="D503" s="4" t="s">
        <v>158</v>
      </c>
      <c r="E503" s="5"/>
      <c r="F503" s="5"/>
      <c r="G503" s="5"/>
      <c r="H503" s="5"/>
      <c r="I503">
        <v>1.3</v>
      </c>
      <c r="J503" s="1">
        <v>0.5</v>
      </c>
      <c r="K503" s="1">
        <v>0.8</v>
      </c>
      <c r="L503" s="9"/>
      <c r="M503" s="9"/>
      <c r="N503" s="9"/>
      <c r="O503" s="9">
        <f>LN(373.78)</f>
        <v>5.9236673890421567</v>
      </c>
      <c r="P503" s="12">
        <v>2.5</v>
      </c>
      <c r="Q503" s="9"/>
      <c r="R503" s="9"/>
      <c r="S503" s="9"/>
    </row>
    <row r="504" spans="1:19" ht="15.6" x14ac:dyDescent="0.3">
      <c r="A504" s="13" t="s">
        <v>195</v>
      </c>
      <c r="B504" s="2" t="s">
        <v>115</v>
      </c>
      <c r="C504" s="1">
        <v>2022</v>
      </c>
      <c r="D504" s="4" t="s">
        <v>158</v>
      </c>
      <c r="E504" s="5"/>
      <c r="F504" s="5"/>
      <c r="G504" s="5"/>
      <c r="H504" s="5"/>
      <c r="I504">
        <v>0.7</v>
      </c>
      <c r="J504" s="1">
        <v>0.5</v>
      </c>
      <c r="K504" s="1">
        <v>0.2</v>
      </c>
      <c r="L504" s="9"/>
      <c r="M504" s="9"/>
      <c r="N504" s="9"/>
      <c r="O504" s="9">
        <f>LN(407.61)</f>
        <v>6.0103108349043417</v>
      </c>
      <c r="P504" s="12">
        <v>3.4</v>
      </c>
      <c r="Q504" s="9"/>
      <c r="R504" s="9"/>
      <c r="S504" s="9"/>
    </row>
    <row r="505" spans="1:19" ht="15.6" x14ac:dyDescent="0.3">
      <c r="A505" s="13" t="s">
        <v>195</v>
      </c>
      <c r="B505" s="2" t="s">
        <v>115</v>
      </c>
      <c r="C505" s="1">
        <v>2023</v>
      </c>
      <c r="D505" s="4" t="s">
        <v>158</v>
      </c>
      <c r="E505" s="5"/>
      <c r="F505" s="5"/>
      <c r="G505" s="5"/>
      <c r="H505" s="5"/>
      <c r="I505">
        <v>2</v>
      </c>
      <c r="J505" s="1">
        <v>1</v>
      </c>
      <c r="K505" s="1">
        <v>1</v>
      </c>
      <c r="L505" s="9"/>
      <c r="M505" s="9"/>
      <c r="N505" s="9"/>
      <c r="O505" s="9">
        <f>LN(399.71)</f>
        <v>5.9907392841683871</v>
      </c>
      <c r="P505" s="12">
        <v>2.5</v>
      </c>
      <c r="Q505" s="9"/>
      <c r="R505" s="9"/>
      <c r="S505" s="9"/>
    </row>
    <row r="506" spans="1:19" ht="15.6" x14ac:dyDescent="0.3">
      <c r="A506" s="13" t="s">
        <v>196</v>
      </c>
      <c r="B506" s="2" t="s">
        <v>116</v>
      </c>
      <c r="C506" s="1">
        <v>2016</v>
      </c>
      <c r="D506" s="4" t="s">
        <v>162</v>
      </c>
      <c r="E506" s="5">
        <v>55.7</v>
      </c>
      <c r="F506" s="5">
        <v>36.200000000000003</v>
      </c>
      <c r="G506" s="5">
        <v>61</v>
      </c>
      <c r="H506" s="5">
        <v>75.7</v>
      </c>
      <c r="I506">
        <v>0</v>
      </c>
      <c r="J506" s="1">
        <v>0</v>
      </c>
      <c r="K506" s="1">
        <v>0</v>
      </c>
      <c r="L506" s="9">
        <v>0.25</v>
      </c>
      <c r="M506" s="9">
        <v>3.2</v>
      </c>
      <c r="N506" s="9">
        <v>5.57</v>
      </c>
      <c r="O506" s="9">
        <f>LN(301.26)</f>
        <v>5.7079736792746694</v>
      </c>
      <c r="P506" s="12">
        <v>2.1</v>
      </c>
      <c r="Q506" s="9">
        <v>14.359159552377617</v>
      </c>
      <c r="R506" s="9">
        <v>0.33300000000000002</v>
      </c>
      <c r="S506" s="9">
        <v>0.42495413057110343</v>
      </c>
    </row>
    <row r="507" spans="1:19" ht="15.6" x14ac:dyDescent="0.3">
      <c r="A507" s="13" t="s">
        <v>196</v>
      </c>
      <c r="B507" s="2" t="s">
        <v>116</v>
      </c>
      <c r="C507" s="1">
        <v>2017</v>
      </c>
      <c r="D507" s="4" t="s">
        <v>162</v>
      </c>
      <c r="E507" s="5">
        <v>48.6</v>
      </c>
      <c r="F507" s="5">
        <v>22.6</v>
      </c>
      <c r="G507" s="5">
        <v>66.2</v>
      </c>
      <c r="H507" s="5">
        <v>58.2</v>
      </c>
      <c r="I507">
        <v>0</v>
      </c>
      <c r="J507" s="1">
        <v>0</v>
      </c>
      <c r="K507" s="1">
        <v>0</v>
      </c>
      <c r="L507" s="9">
        <v>0.28000000000000003</v>
      </c>
      <c r="M507" s="9">
        <v>5.0599999999999996</v>
      </c>
      <c r="N507" s="9">
        <v>8.69</v>
      </c>
      <c r="O507" s="9">
        <f>LN(319.11)</f>
        <v>5.7655358709316831</v>
      </c>
      <c r="P507" s="9">
        <v>3.9</v>
      </c>
      <c r="Q507" s="9">
        <v>14.481035739467908</v>
      </c>
      <c r="R507" s="9">
        <v>0.33300000000000002</v>
      </c>
      <c r="S507" s="9">
        <v>0.4170418892301872</v>
      </c>
    </row>
    <row r="508" spans="1:19" ht="15.6" x14ac:dyDescent="0.3">
      <c r="A508" s="13" t="s">
        <v>196</v>
      </c>
      <c r="B508" s="2" t="s">
        <v>116</v>
      </c>
      <c r="C508" s="1">
        <v>2018</v>
      </c>
      <c r="D508" s="4" t="s">
        <v>162</v>
      </c>
      <c r="E508" s="5">
        <v>51</v>
      </c>
      <c r="F508" s="5">
        <v>27</v>
      </c>
      <c r="G508" s="5">
        <v>60.4</v>
      </c>
      <c r="H508" s="5">
        <v>71</v>
      </c>
      <c r="I508">
        <v>0</v>
      </c>
      <c r="J508" s="1">
        <v>0</v>
      </c>
      <c r="K508" s="1">
        <v>0</v>
      </c>
      <c r="L508" s="9">
        <v>0.23</v>
      </c>
      <c r="M508" s="9">
        <v>4.28</v>
      </c>
      <c r="N508" s="9">
        <v>7.41</v>
      </c>
      <c r="O508" s="9">
        <f>LN(358.79)</f>
        <v>5.8827372591162019</v>
      </c>
      <c r="P508" s="9">
        <v>0.9</v>
      </c>
      <c r="Q508" s="9">
        <v>14.486176416727234</v>
      </c>
      <c r="R508" s="9">
        <v>0.4</v>
      </c>
      <c r="S508" s="9">
        <v>0.42301585394103619</v>
      </c>
    </row>
    <row r="509" spans="1:19" ht="15.6" x14ac:dyDescent="0.3">
      <c r="A509" s="13" t="s">
        <v>196</v>
      </c>
      <c r="B509" s="2" t="s">
        <v>116</v>
      </c>
      <c r="C509" s="1">
        <v>2019</v>
      </c>
      <c r="D509" s="4" t="s">
        <v>162</v>
      </c>
      <c r="E509" s="5">
        <v>48.6</v>
      </c>
      <c r="F509" s="5">
        <v>18.399999999999999</v>
      </c>
      <c r="G509" s="5">
        <v>54.4</v>
      </c>
      <c r="H509" s="5">
        <v>83.4</v>
      </c>
      <c r="I509">
        <v>0</v>
      </c>
      <c r="J509" s="1">
        <v>0</v>
      </c>
      <c r="K509" s="1">
        <v>0</v>
      </c>
      <c r="L509" s="9">
        <v>0.26</v>
      </c>
      <c r="M509" s="9">
        <v>4.92</v>
      </c>
      <c r="N509" s="9">
        <v>8.14</v>
      </c>
      <c r="O509" s="9">
        <f>LN(365.18)</f>
        <v>5.9003903827085873</v>
      </c>
      <c r="P509" s="12">
        <v>0.7</v>
      </c>
      <c r="Q509" s="9">
        <v>14.530701480097692</v>
      </c>
      <c r="R509" s="9">
        <v>0.4</v>
      </c>
      <c r="S509" s="9">
        <v>0.39486211573347446</v>
      </c>
    </row>
    <row r="510" spans="1:19" ht="15.6" x14ac:dyDescent="0.3">
      <c r="A510" s="13" t="s">
        <v>196</v>
      </c>
      <c r="B510" s="2" t="s">
        <v>116</v>
      </c>
      <c r="C510" s="1">
        <v>2020</v>
      </c>
      <c r="D510" s="4" t="s">
        <v>162</v>
      </c>
      <c r="E510" s="5">
        <v>53.4</v>
      </c>
      <c r="F510" s="5">
        <v>18.8</v>
      </c>
      <c r="G510" s="5">
        <v>59.5</v>
      </c>
      <c r="H510" s="5">
        <v>94.2</v>
      </c>
      <c r="I510">
        <v>0</v>
      </c>
      <c r="J510" s="1">
        <v>0</v>
      </c>
      <c r="K510" s="1">
        <v>0</v>
      </c>
      <c r="L510" s="9">
        <v>0.22</v>
      </c>
      <c r="M510" s="9">
        <v>3.98</v>
      </c>
      <c r="N510" s="9">
        <v>6.41</v>
      </c>
      <c r="O510" s="9">
        <f>LN(337.46)</f>
        <v>5.8214469847701915</v>
      </c>
      <c r="P510" s="12">
        <v>-0.1</v>
      </c>
      <c r="Q510" s="9">
        <v>14.582985686481489</v>
      </c>
      <c r="R510" s="9">
        <v>0.4</v>
      </c>
      <c r="S510" s="9">
        <v>0.37926631141148948</v>
      </c>
    </row>
    <row r="511" spans="1:19" ht="15.6" x14ac:dyDescent="0.3">
      <c r="A511" s="13" t="s">
        <v>196</v>
      </c>
      <c r="B511" s="2" t="s">
        <v>116</v>
      </c>
      <c r="C511" s="1">
        <v>2021</v>
      </c>
      <c r="D511" s="4" t="s">
        <v>162</v>
      </c>
      <c r="E511" s="5"/>
      <c r="F511" s="5"/>
      <c r="G511" s="5"/>
      <c r="H511" s="5"/>
      <c r="I511">
        <v>0</v>
      </c>
      <c r="J511" s="1">
        <v>0</v>
      </c>
      <c r="K511" s="1">
        <v>0</v>
      </c>
      <c r="L511" s="9">
        <v>0.2</v>
      </c>
      <c r="M511" s="9">
        <v>4.32</v>
      </c>
      <c r="N511" s="9">
        <v>7.19</v>
      </c>
      <c r="O511" s="9">
        <f>LN(373.78)</f>
        <v>5.9236673890421567</v>
      </c>
      <c r="P511" s="12">
        <v>2.5</v>
      </c>
      <c r="Q511" s="9">
        <v>14.607092576948773</v>
      </c>
      <c r="R511" s="9">
        <v>0.45500000000000002</v>
      </c>
      <c r="S511" s="9">
        <v>0.3988857597926489</v>
      </c>
    </row>
    <row r="512" spans="1:19" ht="15.6" x14ac:dyDescent="0.3">
      <c r="A512" s="13" t="s">
        <v>196</v>
      </c>
      <c r="B512" s="2" t="s">
        <v>116</v>
      </c>
      <c r="C512" s="1">
        <v>2022</v>
      </c>
      <c r="D512" s="4" t="s">
        <v>162</v>
      </c>
      <c r="E512" s="5"/>
      <c r="F512" s="5"/>
      <c r="G512" s="5"/>
      <c r="H512" s="5"/>
      <c r="I512">
        <v>0.9</v>
      </c>
      <c r="J512" s="1">
        <v>0.5</v>
      </c>
      <c r="K512" s="1">
        <v>0.4</v>
      </c>
      <c r="L512" s="9">
        <v>0.21</v>
      </c>
      <c r="M512" s="9">
        <v>4.38</v>
      </c>
      <c r="N512" s="9">
        <v>7.37</v>
      </c>
      <c r="O512" s="9">
        <f>LN(407.61)</f>
        <v>6.0103108349043417</v>
      </c>
      <c r="P512" s="12">
        <v>3.4</v>
      </c>
      <c r="Q512" s="9">
        <v>14.601162167707127</v>
      </c>
      <c r="R512" s="9">
        <v>0.45500000000000002</v>
      </c>
      <c r="S512" s="9">
        <v>0.40542228316063733</v>
      </c>
    </row>
    <row r="513" spans="1:19" ht="15.6" x14ac:dyDescent="0.3">
      <c r="A513" s="13" t="s">
        <v>196</v>
      </c>
      <c r="B513" s="2" t="s">
        <v>116</v>
      </c>
      <c r="C513" s="1">
        <v>2023</v>
      </c>
      <c r="D513" s="4" t="s">
        <v>162</v>
      </c>
      <c r="E513" s="5"/>
      <c r="F513" s="5"/>
      <c r="G513" s="5"/>
      <c r="H513" s="5"/>
      <c r="I513">
        <v>0.9</v>
      </c>
      <c r="J513" s="1">
        <v>0.5</v>
      </c>
      <c r="K513" s="1">
        <v>0.4</v>
      </c>
      <c r="L513" s="9">
        <v>0.25</v>
      </c>
      <c r="M513" s="9">
        <v>4.4800000000000004</v>
      </c>
      <c r="N513" s="9">
        <v>7.54</v>
      </c>
      <c r="O513" s="9">
        <f>LN(399.71)</f>
        <v>5.9907392841683871</v>
      </c>
      <c r="P513" s="12">
        <v>2.5</v>
      </c>
      <c r="Q513" s="9">
        <v>14.636487470027479</v>
      </c>
      <c r="R513" s="9">
        <v>0.45500000000000002</v>
      </c>
      <c r="S513" s="9">
        <v>0.40629703892122165</v>
      </c>
    </row>
    <row r="514" spans="1:19" ht="15.6" x14ac:dyDescent="0.3">
      <c r="A514" s="13" t="s">
        <v>197</v>
      </c>
      <c r="B514" s="2" t="s">
        <v>117</v>
      </c>
      <c r="C514" s="1">
        <v>2016</v>
      </c>
      <c r="D514" s="4" t="s">
        <v>157</v>
      </c>
      <c r="E514" s="5">
        <v>52.2</v>
      </c>
      <c r="F514" s="5">
        <v>58.1</v>
      </c>
      <c r="G514" s="5">
        <v>71.099999999999994</v>
      </c>
      <c r="H514" s="5">
        <v>25.6</v>
      </c>
      <c r="I514">
        <v>0.2</v>
      </c>
      <c r="J514" s="1">
        <v>0</v>
      </c>
      <c r="K514" s="1">
        <v>0.2</v>
      </c>
      <c r="L514" s="9">
        <v>1.03</v>
      </c>
      <c r="M514" s="9">
        <v>5.58</v>
      </c>
      <c r="N514" s="9">
        <v>7.96</v>
      </c>
      <c r="O514" s="9">
        <f>LN(301.26)</f>
        <v>5.7079736792746694</v>
      </c>
      <c r="P514" s="12">
        <v>2.1</v>
      </c>
      <c r="Q514" s="9">
        <v>14.035960885805817</v>
      </c>
      <c r="R514" s="9">
        <v>0.90910000000000002</v>
      </c>
      <c r="S514" s="9">
        <v>0.29889911907065242</v>
      </c>
    </row>
    <row r="515" spans="1:19" ht="15.6" x14ac:dyDescent="0.3">
      <c r="A515" s="13" t="s">
        <v>197</v>
      </c>
      <c r="B515" s="2" t="s">
        <v>117</v>
      </c>
      <c r="C515" s="1">
        <v>2017</v>
      </c>
      <c r="D515" s="4" t="s">
        <v>157</v>
      </c>
      <c r="E515" s="5">
        <v>49.6</v>
      </c>
      <c r="F515" s="5">
        <v>54.5</v>
      </c>
      <c r="G515" s="5">
        <v>68.2</v>
      </c>
      <c r="H515" s="5">
        <v>24.5</v>
      </c>
      <c r="I515">
        <v>0.4</v>
      </c>
      <c r="J515" s="1">
        <v>0</v>
      </c>
      <c r="K515" s="1">
        <v>0.4</v>
      </c>
      <c r="L515" s="9">
        <v>0.86</v>
      </c>
      <c r="M515" s="9">
        <v>4.41</v>
      </c>
      <c r="N515" s="9">
        <v>6.33</v>
      </c>
      <c r="O515" s="9">
        <f>LN(319.11)</f>
        <v>5.7655358709316831</v>
      </c>
      <c r="P515" s="9">
        <v>3.9</v>
      </c>
      <c r="Q515" s="9">
        <v>14.146050231682359</v>
      </c>
      <c r="R515" s="9">
        <v>0.90910000000000002</v>
      </c>
      <c r="S515" s="9">
        <v>0.30299651007135781</v>
      </c>
    </row>
    <row r="516" spans="1:19" ht="15.6" x14ac:dyDescent="0.3">
      <c r="A516" s="13" t="s">
        <v>197</v>
      </c>
      <c r="B516" s="2" t="s">
        <v>117</v>
      </c>
      <c r="C516" s="1">
        <v>2018</v>
      </c>
      <c r="D516" s="4" t="s">
        <v>157</v>
      </c>
      <c r="E516" s="5">
        <v>62.9</v>
      </c>
      <c r="F516" s="5">
        <v>59.1</v>
      </c>
      <c r="G516" s="5">
        <v>72.599999999999994</v>
      </c>
      <c r="H516" s="5">
        <v>55.9</v>
      </c>
      <c r="I516">
        <v>0.2</v>
      </c>
      <c r="J516" s="1">
        <v>0</v>
      </c>
      <c r="K516" s="1">
        <v>0.2</v>
      </c>
      <c r="L516" s="9">
        <v>0.78</v>
      </c>
      <c r="M516" s="9">
        <v>4.54</v>
      </c>
      <c r="N516" s="9">
        <v>7.26</v>
      </c>
      <c r="O516" s="9">
        <f>LN(358.79)</f>
        <v>5.8827372591162019</v>
      </c>
      <c r="P516" s="9">
        <v>0.9</v>
      </c>
      <c r="Q516" s="9">
        <v>14.244847779543825</v>
      </c>
      <c r="R516" s="9">
        <v>0.90910000000000002</v>
      </c>
      <c r="S516" s="9">
        <v>0.3743115491795222</v>
      </c>
    </row>
    <row r="517" spans="1:19" ht="15.6" x14ac:dyDescent="0.3">
      <c r="A517" s="13" t="s">
        <v>197</v>
      </c>
      <c r="B517" s="2" t="s">
        <v>117</v>
      </c>
      <c r="C517" s="1">
        <v>2019</v>
      </c>
      <c r="D517" s="4" t="s">
        <v>157</v>
      </c>
      <c r="E517" s="5">
        <v>67.099999999999994</v>
      </c>
      <c r="F517" s="5">
        <v>53.3</v>
      </c>
      <c r="G517" s="5">
        <v>71.5</v>
      </c>
      <c r="H517" s="5">
        <v>75.5</v>
      </c>
      <c r="I517">
        <v>0.2</v>
      </c>
      <c r="J517" s="1">
        <v>0</v>
      </c>
      <c r="K517" s="1">
        <v>0.2</v>
      </c>
      <c r="L517" s="9">
        <v>0.83</v>
      </c>
      <c r="M517" s="9">
        <v>4.13</v>
      </c>
      <c r="N517" s="9">
        <v>6.6</v>
      </c>
      <c r="O517" s="9">
        <f>LN(365.18)</f>
        <v>5.9003903827085873</v>
      </c>
      <c r="P517" s="12">
        <v>0.7</v>
      </c>
      <c r="Q517" s="9">
        <v>14.255913502841421</v>
      </c>
      <c r="R517" s="9">
        <v>0.90910000000000002</v>
      </c>
      <c r="S517" s="9">
        <v>0.37396102445515544</v>
      </c>
    </row>
    <row r="518" spans="1:19" ht="15.6" x14ac:dyDescent="0.3">
      <c r="A518" s="13" t="s">
        <v>197</v>
      </c>
      <c r="B518" s="2" t="s">
        <v>117</v>
      </c>
      <c r="C518" s="1">
        <v>2020</v>
      </c>
      <c r="D518" s="4" t="s">
        <v>157</v>
      </c>
      <c r="E518" s="5">
        <v>65.400000000000006</v>
      </c>
      <c r="F518" s="5">
        <v>50.3</v>
      </c>
      <c r="G518" s="5">
        <v>69.400000000000006</v>
      </c>
      <c r="H518" s="5">
        <v>75.400000000000006</v>
      </c>
      <c r="I518">
        <v>0.2</v>
      </c>
      <c r="J518" s="1">
        <v>0</v>
      </c>
      <c r="K518" s="1">
        <v>0.2</v>
      </c>
      <c r="L518" s="9">
        <v>0.73</v>
      </c>
      <c r="M518" s="9">
        <v>0.74</v>
      </c>
      <c r="N518" s="9">
        <v>1.2</v>
      </c>
      <c r="O518" s="9">
        <f>LN(337.46)</f>
        <v>5.8214469847701915</v>
      </c>
      <c r="P518" s="12">
        <v>-0.1</v>
      </c>
      <c r="Q518" s="9">
        <v>14.257257449414521</v>
      </c>
      <c r="R518" s="9">
        <v>0.90910000000000002</v>
      </c>
      <c r="S518" s="9">
        <v>0.38170862955519469</v>
      </c>
    </row>
    <row r="519" spans="1:19" ht="15.6" x14ac:dyDescent="0.3">
      <c r="A519" s="13" t="s">
        <v>197</v>
      </c>
      <c r="B519" s="2" t="s">
        <v>117</v>
      </c>
      <c r="C519" s="1">
        <v>2021</v>
      </c>
      <c r="D519" s="4" t="s">
        <v>157</v>
      </c>
      <c r="E519" s="5"/>
      <c r="F519" s="5"/>
      <c r="G519" s="5"/>
      <c r="H519" s="5"/>
      <c r="I519">
        <v>1.1000000000000001</v>
      </c>
      <c r="J519" s="1">
        <v>0.5</v>
      </c>
      <c r="K519" s="1">
        <v>0.6</v>
      </c>
      <c r="L519" s="9">
        <v>0.61</v>
      </c>
      <c r="M519" s="9">
        <v>2.0099999999999998</v>
      </c>
      <c r="N519" s="9">
        <v>3.25</v>
      </c>
      <c r="O519" s="9">
        <f>LN(373.78)</f>
        <v>5.9236673890421567</v>
      </c>
      <c r="P519" s="12">
        <v>2.5</v>
      </c>
      <c r="Q519" s="9">
        <v>14.21692748322587</v>
      </c>
      <c r="R519" s="9">
        <v>0.90910000000000002</v>
      </c>
      <c r="S519" s="9">
        <v>0.38152870931898203</v>
      </c>
    </row>
    <row r="520" spans="1:19" ht="15.6" x14ac:dyDescent="0.3">
      <c r="A520" s="13" t="s">
        <v>197</v>
      </c>
      <c r="B520" s="2" t="s">
        <v>117</v>
      </c>
      <c r="C520" s="1">
        <v>2022</v>
      </c>
      <c r="D520" s="4" t="s">
        <v>157</v>
      </c>
      <c r="E520" s="5"/>
      <c r="F520" s="5"/>
      <c r="G520" s="5"/>
      <c r="H520" s="5"/>
      <c r="I520">
        <v>1.5</v>
      </c>
      <c r="J520" s="1">
        <v>0.5</v>
      </c>
      <c r="K520" s="1">
        <v>1</v>
      </c>
      <c r="L520" s="9">
        <v>0.56999999999999995</v>
      </c>
      <c r="M520" s="9">
        <v>6.14</v>
      </c>
      <c r="N520" s="9">
        <v>9.8000000000000007</v>
      </c>
      <c r="O520" s="9">
        <f>LN(407.61)</f>
        <v>6.0103108349043417</v>
      </c>
      <c r="P520" s="12">
        <v>3.4</v>
      </c>
      <c r="Q520" s="9">
        <v>14.200166652539467</v>
      </c>
      <c r="R520" s="9">
        <v>0.90910000000000002</v>
      </c>
      <c r="S520" s="9">
        <v>0.37376260032441433</v>
      </c>
    </row>
    <row r="521" spans="1:19" ht="15.6" x14ac:dyDescent="0.3">
      <c r="A521" s="13" t="s">
        <v>197</v>
      </c>
      <c r="B521" s="2" t="s">
        <v>117</v>
      </c>
      <c r="C521" s="1">
        <v>2023</v>
      </c>
      <c r="D521" s="4" t="s">
        <v>157</v>
      </c>
      <c r="E521" s="5"/>
      <c r="F521" s="5"/>
      <c r="G521" s="5"/>
      <c r="H521" s="5"/>
      <c r="I521">
        <v>1.5</v>
      </c>
      <c r="J521" s="1">
        <v>0.5</v>
      </c>
      <c r="K521" s="1">
        <v>1</v>
      </c>
      <c r="L521" s="9">
        <v>0.49</v>
      </c>
      <c r="M521" s="9">
        <v>4.8</v>
      </c>
      <c r="N521" s="9">
        <v>8.76</v>
      </c>
      <c r="O521" s="9">
        <f>LN(399.71)</f>
        <v>5.9907392841683871</v>
      </c>
      <c r="P521" s="12">
        <v>2.5</v>
      </c>
      <c r="Q521" s="9">
        <v>14.488360638996793</v>
      </c>
      <c r="R521" s="9">
        <v>0.90910000000000002</v>
      </c>
      <c r="S521" s="9">
        <v>0.45196714996058301</v>
      </c>
    </row>
    <row r="522" spans="1:19" ht="15.6" x14ac:dyDescent="0.3">
      <c r="A522" s="13" t="s">
        <v>198</v>
      </c>
      <c r="B522" s="2" t="s">
        <v>118</v>
      </c>
      <c r="C522" s="1">
        <v>2016</v>
      </c>
      <c r="D522" s="4" t="s">
        <v>161</v>
      </c>
      <c r="E522" s="5">
        <v>41.5</v>
      </c>
      <c r="F522" s="5">
        <v>33.1</v>
      </c>
      <c r="G522" s="5">
        <v>53.1</v>
      </c>
      <c r="H522" s="5">
        <v>36.9</v>
      </c>
      <c r="I522">
        <v>0.6</v>
      </c>
      <c r="J522" s="1">
        <v>0</v>
      </c>
      <c r="K522" s="1">
        <v>0.6</v>
      </c>
      <c r="L522" s="9">
        <v>1.38</v>
      </c>
      <c r="M522" s="9">
        <v>18.84</v>
      </c>
      <c r="N522" s="9">
        <v>24.1</v>
      </c>
      <c r="O522" s="9">
        <f>LN(301.26)</f>
        <v>5.7079736792746694</v>
      </c>
      <c r="P522" s="12">
        <v>2.1</v>
      </c>
      <c r="Q522" s="9">
        <v>10.372928523519388</v>
      </c>
      <c r="R522" s="9">
        <v>0.4</v>
      </c>
      <c r="S522" s="9">
        <v>0.21815396160340192</v>
      </c>
    </row>
    <row r="523" spans="1:19" ht="15.6" x14ac:dyDescent="0.3">
      <c r="A523" s="13" t="s">
        <v>198</v>
      </c>
      <c r="B523" s="2" t="s">
        <v>118</v>
      </c>
      <c r="C523" s="1">
        <v>2017</v>
      </c>
      <c r="D523" s="4" t="s">
        <v>161</v>
      </c>
      <c r="E523" s="5">
        <v>42.8</v>
      </c>
      <c r="F523" s="5">
        <v>24.7</v>
      </c>
      <c r="G523" s="5">
        <v>58.9</v>
      </c>
      <c r="H523" s="5">
        <v>42.7</v>
      </c>
      <c r="I523">
        <v>0.2</v>
      </c>
      <c r="J523" s="1">
        <v>0</v>
      </c>
      <c r="K523" s="1">
        <v>0.2</v>
      </c>
      <c r="L523" s="9">
        <v>2.69</v>
      </c>
      <c r="M523" s="9">
        <v>10.1</v>
      </c>
      <c r="N523" s="9">
        <v>17.95</v>
      </c>
      <c r="O523" s="9">
        <f>LN(319.11)</f>
        <v>5.7655358709316831</v>
      </c>
      <c r="P523" s="9">
        <v>3.9</v>
      </c>
      <c r="Q523" s="9">
        <v>11.381711385300866</v>
      </c>
      <c r="R523" s="9">
        <v>0.33300000000000002</v>
      </c>
      <c r="S523" s="9">
        <v>0.4376247106712427</v>
      </c>
    </row>
    <row r="524" spans="1:19" ht="15.6" x14ac:dyDescent="0.3">
      <c r="A524" s="13" t="s">
        <v>198</v>
      </c>
      <c r="B524" s="2" t="s">
        <v>118</v>
      </c>
      <c r="C524" s="1">
        <v>2018</v>
      </c>
      <c r="D524" s="4" t="s">
        <v>161</v>
      </c>
      <c r="E524" s="5">
        <v>43.1</v>
      </c>
      <c r="F524" s="5">
        <v>25.4</v>
      </c>
      <c r="G524" s="5">
        <v>65.5</v>
      </c>
      <c r="H524" s="5">
        <v>35.5</v>
      </c>
      <c r="I524">
        <v>0.4</v>
      </c>
      <c r="J524" s="1">
        <v>0</v>
      </c>
      <c r="K524" s="1">
        <v>0.4</v>
      </c>
      <c r="L524" s="9">
        <v>1.35</v>
      </c>
      <c r="M524" s="9">
        <v>8.84</v>
      </c>
      <c r="N524" s="9">
        <v>12.04</v>
      </c>
      <c r="O524" s="9">
        <f>LN(358.79)</f>
        <v>5.8827372591162019</v>
      </c>
      <c r="P524" s="9">
        <v>0.9</v>
      </c>
      <c r="Q524" s="9">
        <v>11.958277730774835</v>
      </c>
      <c r="R524" s="9">
        <v>0.33300000000000002</v>
      </c>
      <c r="S524" s="9">
        <v>0.26558576333726236</v>
      </c>
    </row>
    <row r="525" spans="1:19" ht="15.6" x14ac:dyDescent="0.3">
      <c r="A525" s="13" t="s">
        <v>198</v>
      </c>
      <c r="B525" s="2" t="s">
        <v>118</v>
      </c>
      <c r="C525" s="1">
        <v>2019</v>
      </c>
      <c r="D525" s="4" t="s">
        <v>161</v>
      </c>
      <c r="E525" s="5">
        <v>51.8</v>
      </c>
      <c r="F525" s="5">
        <v>38.1</v>
      </c>
      <c r="G525" s="5">
        <v>68.5</v>
      </c>
      <c r="H525" s="5">
        <v>46.7</v>
      </c>
      <c r="I525">
        <v>0.6</v>
      </c>
      <c r="J525" s="1">
        <v>0</v>
      </c>
      <c r="K525" s="1">
        <v>0.6</v>
      </c>
      <c r="L525" s="9">
        <v>2.92</v>
      </c>
      <c r="M525" s="9">
        <v>11.26</v>
      </c>
      <c r="N525" s="9">
        <v>13.94</v>
      </c>
      <c r="O525" s="9">
        <f>LN(365.18)</f>
        <v>5.9003903827085873</v>
      </c>
      <c r="P525" s="12">
        <v>0.7</v>
      </c>
      <c r="Q525" s="9">
        <v>12.101961349272779</v>
      </c>
      <c r="R525" s="9">
        <v>0.5</v>
      </c>
      <c r="S525" s="9">
        <v>0.19209321681231795</v>
      </c>
    </row>
    <row r="526" spans="1:19" ht="15.6" x14ac:dyDescent="0.3">
      <c r="A526" s="13" t="s">
        <v>198</v>
      </c>
      <c r="B526" s="2" t="s">
        <v>118</v>
      </c>
      <c r="C526" s="1">
        <v>2020</v>
      </c>
      <c r="D526" s="4" t="s">
        <v>161</v>
      </c>
      <c r="E526" s="5">
        <v>56.1</v>
      </c>
      <c r="F526" s="5">
        <v>42.9</v>
      </c>
      <c r="G526" s="5">
        <v>69.5</v>
      </c>
      <c r="H526" s="5">
        <v>54.1</v>
      </c>
      <c r="I526">
        <v>0.6</v>
      </c>
      <c r="J526" s="1">
        <v>0</v>
      </c>
      <c r="K526" s="1">
        <v>0.6</v>
      </c>
      <c r="L526" s="9">
        <v>4.32</v>
      </c>
      <c r="M526" s="9">
        <v>8.51</v>
      </c>
      <c r="N526" s="9">
        <v>10.050000000000001</v>
      </c>
      <c r="O526" s="9">
        <f>LN(337.46)</f>
        <v>5.8214469847701915</v>
      </c>
      <c r="P526" s="12">
        <v>-0.1</v>
      </c>
      <c r="Q526" s="9">
        <v>12.243373247217953</v>
      </c>
      <c r="R526" s="9">
        <v>0.5</v>
      </c>
      <c r="S526" s="9">
        <v>0.15340003179175438</v>
      </c>
    </row>
    <row r="527" spans="1:19" ht="15.6" x14ac:dyDescent="0.3">
      <c r="A527" s="13" t="s">
        <v>198</v>
      </c>
      <c r="B527" s="2" t="s">
        <v>118</v>
      </c>
      <c r="C527" s="1">
        <v>2021</v>
      </c>
      <c r="D527" s="4" t="s">
        <v>161</v>
      </c>
      <c r="E527" s="5">
        <v>30.6</v>
      </c>
      <c r="F527" s="5">
        <v>21.4</v>
      </c>
      <c r="G527" s="5">
        <v>29.4</v>
      </c>
      <c r="H527" s="5">
        <v>43.2</v>
      </c>
      <c r="I527">
        <v>1.1000000000000001</v>
      </c>
      <c r="J527" s="1">
        <v>0.5</v>
      </c>
      <c r="K527" s="1">
        <v>0.6</v>
      </c>
      <c r="L527" s="9">
        <v>4.0199999999999996</v>
      </c>
      <c r="M527" s="9">
        <v>7.41</v>
      </c>
      <c r="N527" s="9">
        <v>9.16</v>
      </c>
      <c r="O527" s="9">
        <f>LN(373.78)</f>
        <v>5.9236673890421567</v>
      </c>
      <c r="P527" s="12">
        <v>2.5</v>
      </c>
      <c r="Q527" s="9">
        <v>12.370548409178539</v>
      </c>
      <c r="R527" s="9">
        <v>0.42899999999999999</v>
      </c>
      <c r="S527" s="9">
        <v>0.19186443553689211</v>
      </c>
    </row>
    <row r="528" spans="1:19" ht="15.6" x14ac:dyDescent="0.3">
      <c r="A528" s="13" t="s">
        <v>198</v>
      </c>
      <c r="B528" s="2" t="s">
        <v>118</v>
      </c>
      <c r="C528" s="1">
        <v>2022</v>
      </c>
      <c r="D528" s="4" t="s">
        <v>161</v>
      </c>
      <c r="E528" s="5">
        <v>31.5</v>
      </c>
      <c r="F528" s="5">
        <v>19.3</v>
      </c>
      <c r="G528" s="5">
        <v>29.8</v>
      </c>
      <c r="H528" s="5">
        <v>48.6</v>
      </c>
      <c r="I528">
        <v>1.8</v>
      </c>
      <c r="J528" s="1">
        <v>1</v>
      </c>
      <c r="K528" s="1">
        <v>0.8</v>
      </c>
      <c r="L528" s="9">
        <v>2.73</v>
      </c>
      <c r="M528" s="9">
        <v>7.12</v>
      </c>
      <c r="N528" s="9">
        <v>9.23</v>
      </c>
      <c r="O528" s="9">
        <f>LN(407.61)</f>
        <v>6.0103108349043417</v>
      </c>
      <c r="P528" s="12">
        <v>3.4</v>
      </c>
      <c r="Q528" s="9">
        <v>12.477796815251113</v>
      </c>
      <c r="R528" s="9">
        <v>0.42899999999999999</v>
      </c>
      <c r="S528" s="9">
        <v>0.22917944712225419</v>
      </c>
    </row>
    <row r="529" spans="1:19" ht="15.6" x14ac:dyDescent="0.3">
      <c r="A529" s="13" t="s">
        <v>198</v>
      </c>
      <c r="B529" s="2" t="s">
        <v>118</v>
      </c>
      <c r="C529" s="1">
        <v>2023</v>
      </c>
      <c r="D529" s="4" t="s">
        <v>161</v>
      </c>
      <c r="E529" s="5">
        <v>30.6</v>
      </c>
      <c r="F529" s="5">
        <v>21.4</v>
      </c>
      <c r="G529" s="5">
        <v>29.4</v>
      </c>
      <c r="H529" s="5">
        <v>43.2</v>
      </c>
      <c r="I529">
        <v>1.8</v>
      </c>
      <c r="J529" s="1">
        <v>1</v>
      </c>
      <c r="K529" s="1">
        <v>0.8</v>
      </c>
      <c r="L529" s="9">
        <v>2.4900000000000002</v>
      </c>
      <c r="M529" s="9">
        <v>6.76</v>
      </c>
      <c r="N529" s="9">
        <v>8.86</v>
      </c>
      <c r="O529" s="9">
        <f>LN(399.71)</f>
        <v>5.9907392841683871</v>
      </c>
      <c r="P529" s="12">
        <v>2.5</v>
      </c>
      <c r="Q529" s="9">
        <v>12.567335050958606</v>
      </c>
      <c r="R529" s="9">
        <v>0.375</v>
      </c>
      <c r="S529" s="9">
        <v>0.23699430020764525</v>
      </c>
    </row>
    <row r="530" spans="1:19" ht="15.6" x14ac:dyDescent="0.3">
      <c r="A530" s="13" t="s">
        <v>199</v>
      </c>
      <c r="B530" s="2" t="s">
        <v>119</v>
      </c>
      <c r="C530" s="1">
        <v>2016</v>
      </c>
      <c r="D530" s="4" t="s">
        <v>160</v>
      </c>
      <c r="E530" s="5"/>
      <c r="F530" s="5"/>
      <c r="G530" s="5"/>
      <c r="H530" s="5"/>
      <c r="I530">
        <v>1.3</v>
      </c>
      <c r="J530" s="1">
        <v>0.5</v>
      </c>
      <c r="K530" s="1">
        <v>0.8</v>
      </c>
      <c r="L530" s="9">
        <v>1.75</v>
      </c>
      <c r="M530" s="9">
        <v>9.18</v>
      </c>
      <c r="N530" s="9">
        <v>10.36</v>
      </c>
      <c r="O530" s="9">
        <f>LN(301.26)</f>
        <v>5.7079736792746694</v>
      </c>
      <c r="P530" s="12">
        <v>2.1</v>
      </c>
      <c r="Q530" s="9">
        <v>15.778658703923028</v>
      </c>
      <c r="R530" s="9">
        <v>0.375</v>
      </c>
      <c r="S530" s="9">
        <v>0.11377868130584332</v>
      </c>
    </row>
    <row r="531" spans="1:19" ht="15.6" x14ac:dyDescent="0.3">
      <c r="A531" s="13" t="s">
        <v>199</v>
      </c>
      <c r="B531" s="2" t="s">
        <v>119</v>
      </c>
      <c r="C531" s="1">
        <v>2017</v>
      </c>
      <c r="D531" s="4" t="s">
        <v>160</v>
      </c>
      <c r="E531" s="5"/>
      <c r="F531" s="5"/>
      <c r="G531" s="5"/>
      <c r="H531" s="5"/>
      <c r="I531">
        <v>1.3</v>
      </c>
      <c r="J531" s="1">
        <v>0.5</v>
      </c>
      <c r="K531" s="1">
        <v>0.8</v>
      </c>
      <c r="L531" s="9">
        <v>1.85</v>
      </c>
      <c r="M531" s="9">
        <v>12.56</v>
      </c>
      <c r="N531" s="9">
        <v>14.47</v>
      </c>
      <c r="O531" s="9">
        <f>LN(319.11)</f>
        <v>5.7655358709316831</v>
      </c>
      <c r="P531" s="9">
        <v>3.9</v>
      </c>
      <c r="Q531" s="9">
        <v>15.918250692259489</v>
      </c>
      <c r="R531" s="9">
        <v>0.375</v>
      </c>
      <c r="S531" s="9">
        <v>0.13210268401945785</v>
      </c>
    </row>
    <row r="532" spans="1:19" ht="15.6" x14ac:dyDescent="0.3">
      <c r="A532" s="13" t="s">
        <v>199</v>
      </c>
      <c r="B532" s="2" t="s">
        <v>119</v>
      </c>
      <c r="C532" s="1">
        <v>2018</v>
      </c>
      <c r="D532" s="4" t="s">
        <v>160</v>
      </c>
      <c r="E532" s="5"/>
      <c r="F532" s="5"/>
      <c r="G532" s="5"/>
      <c r="H532" s="5"/>
      <c r="I532">
        <v>1.1000000000000001</v>
      </c>
      <c r="J532" s="1">
        <v>0.5</v>
      </c>
      <c r="K532" s="1">
        <v>0.6</v>
      </c>
      <c r="L532" s="9">
        <v>1.99</v>
      </c>
      <c r="M532" s="9">
        <v>12.81</v>
      </c>
      <c r="N532" s="9">
        <v>15.83</v>
      </c>
      <c r="O532" s="9">
        <f>LN(358.79)</f>
        <v>5.8827372591162019</v>
      </c>
      <c r="P532" s="9">
        <v>0.9</v>
      </c>
      <c r="Q532" s="9">
        <v>16.015911640417503</v>
      </c>
      <c r="R532" s="9">
        <v>0.5</v>
      </c>
      <c r="S532" s="9">
        <v>0.19047233501767821</v>
      </c>
    </row>
    <row r="533" spans="1:19" ht="15.6" x14ac:dyDescent="0.3">
      <c r="A533" s="13" t="s">
        <v>199</v>
      </c>
      <c r="B533" s="2" t="s">
        <v>119</v>
      </c>
      <c r="C533" s="1">
        <v>2019</v>
      </c>
      <c r="D533" s="4" t="s">
        <v>160</v>
      </c>
      <c r="E533" s="5"/>
      <c r="F533" s="5"/>
      <c r="G533" s="5"/>
      <c r="H533" s="5"/>
      <c r="I533">
        <v>1.5</v>
      </c>
      <c r="J533" s="1">
        <v>0.5</v>
      </c>
      <c r="K533" s="1">
        <v>1</v>
      </c>
      <c r="L533" s="9">
        <v>1.51</v>
      </c>
      <c r="M533" s="9">
        <v>7.23</v>
      </c>
      <c r="N533" s="9">
        <v>9.2100000000000009</v>
      </c>
      <c r="O533" s="9">
        <f>LN(365.18)</f>
        <v>5.9003903827085873</v>
      </c>
      <c r="P533" s="12">
        <v>0.7</v>
      </c>
      <c r="Q533" s="9">
        <v>16.066397221883214</v>
      </c>
      <c r="R533" s="9">
        <v>0.5</v>
      </c>
      <c r="S533" s="9">
        <v>0.21421403111491896</v>
      </c>
    </row>
    <row r="534" spans="1:19" ht="15.6" x14ac:dyDescent="0.3">
      <c r="A534" s="13" t="s">
        <v>199</v>
      </c>
      <c r="B534" s="2" t="s">
        <v>119</v>
      </c>
      <c r="C534" s="1">
        <v>2020</v>
      </c>
      <c r="D534" s="4" t="s">
        <v>160</v>
      </c>
      <c r="E534" s="5"/>
      <c r="F534" s="5"/>
      <c r="G534" s="5"/>
      <c r="H534" s="5"/>
      <c r="I534">
        <v>1.5</v>
      </c>
      <c r="J534" s="1">
        <v>0.5</v>
      </c>
      <c r="K534" s="1">
        <v>1</v>
      </c>
      <c r="L534" s="9">
        <v>1.49</v>
      </c>
      <c r="M534" s="9">
        <v>4.09</v>
      </c>
      <c r="N534" s="9">
        <v>5.25</v>
      </c>
      <c r="O534" s="9">
        <f>LN(337.46)</f>
        <v>5.8214469847701915</v>
      </c>
      <c r="P534" s="12">
        <v>-0.1</v>
      </c>
      <c r="Q534" s="9">
        <v>16.110566780003339</v>
      </c>
      <c r="R534" s="9">
        <v>0.5</v>
      </c>
      <c r="S534" s="9">
        <v>0.22144668299043807</v>
      </c>
    </row>
    <row r="535" spans="1:19" ht="15.6" x14ac:dyDescent="0.3">
      <c r="A535" s="13" t="s">
        <v>199</v>
      </c>
      <c r="B535" s="2" t="s">
        <v>119</v>
      </c>
      <c r="C535" s="1">
        <v>2021</v>
      </c>
      <c r="D535" s="4" t="s">
        <v>160</v>
      </c>
      <c r="E535" s="5">
        <v>63.8</v>
      </c>
      <c r="F535" s="5">
        <v>46.3</v>
      </c>
      <c r="G535" s="5">
        <v>73.900000000000006</v>
      </c>
      <c r="H535" s="5">
        <v>77.7</v>
      </c>
      <c r="I535">
        <v>1.5</v>
      </c>
      <c r="J535" s="1">
        <v>0.5</v>
      </c>
      <c r="K535" s="1">
        <v>1</v>
      </c>
      <c r="L535" s="9">
        <v>1.54</v>
      </c>
      <c r="M535" s="9">
        <v>15.81</v>
      </c>
      <c r="N535" s="9">
        <v>20.76</v>
      </c>
      <c r="O535" s="9">
        <f>LN(373.78)</f>
        <v>5.9236673890421567</v>
      </c>
      <c r="P535" s="12">
        <v>2.5</v>
      </c>
      <c r="Q535" s="9">
        <v>16.224619269949144</v>
      </c>
      <c r="R535" s="9">
        <v>0.5</v>
      </c>
      <c r="S535" s="9">
        <v>0.23825719104620424</v>
      </c>
    </row>
    <row r="536" spans="1:19" ht="15.6" x14ac:dyDescent="0.3">
      <c r="A536" s="13" t="s">
        <v>199</v>
      </c>
      <c r="B536" s="2" t="s">
        <v>119</v>
      </c>
      <c r="C536" s="1">
        <v>2022</v>
      </c>
      <c r="D536" s="4" t="s">
        <v>160</v>
      </c>
      <c r="E536" s="5">
        <v>66.7</v>
      </c>
      <c r="F536" s="5">
        <v>51</v>
      </c>
      <c r="G536" s="5">
        <v>75.900000000000006</v>
      </c>
      <c r="H536" s="5">
        <v>79</v>
      </c>
      <c r="I536">
        <v>1.5</v>
      </c>
      <c r="J536" s="1">
        <v>0.5</v>
      </c>
      <c r="K536" s="1">
        <v>1</v>
      </c>
      <c r="L536" s="9">
        <v>1.24</v>
      </c>
      <c r="M536" s="9">
        <v>11.41</v>
      </c>
      <c r="N536" s="9">
        <v>15.91</v>
      </c>
      <c r="O536" s="9">
        <f>LN(407.61)</f>
        <v>6.0103108349043417</v>
      </c>
      <c r="P536" s="12">
        <v>3.4</v>
      </c>
      <c r="Q536" s="9">
        <v>16.346076842001594</v>
      </c>
      <c r="R536" s="9">
        <v>0.625</v>
      </c>
      <c r="S536" s="9">
        <v>0.28318600909493541</v>
      </c>
    </row>
    <row r="537" spans="1:19" ht="15.6" x14ac:dyDescent="0.3">
      <c r="A537" s="13" t="s">
        <v>199</v>
      </c>
      <c r="B537" s="2" t="s">
        <v>119</v>
      </c>
      <c r="C537" s="1">
        <v>2023</v>
      </c>
      <c r="D537" s="4" t="s">
        <v>160</v>
      </c>
      <c r="E537" s="5">
        <v>63.8</v>
      </c>
      <c r="F537" s="5">
        <v>46.3</v>
      </c>
      <c r="G537" s="5">
        <v>73.900000000000006</v>
      </c>
      <c r="H537" s="5">
        <v>77.7</v>
      </c>
      <c r="I537">
        <v>1.5</v>
      </c>
      <c r="J537" s="1">
        <v>0.5</v>
      </c>
      <c r="K537" s="1">
        <v>1</v>
      </c>
      <c r="L537" s="9">
        <v>0.95</v>
      </c>
      <c r="M537" s="9">
        <v>2.82</v>
      </c>
      <c r="N537" s="9">
        <v>4.03</v>
      </c>
      <c r="O537" s="9">
        <f>LN(399.71)</f>
        <v>5.9907392841683871</v>
      </c>
      <c r="P537" s="12">
        <v>2.5</v>
      </c>
      <c r="Q537" s="9">
        <v>16.389075769055321</v>
      </c>
      <c r="R537" s="9">
        <v>0.625</v>
      </c>
      <c r="S537" s="9">
        <v>0.30116598754317447</v>
      </c>
    </row>
    <row r="538" spans="1:19" ht="15.6" x14ac:dyDescent="0.3">
      <c r="A538" s="13" t="s">
        <v>200</v>
      </c>
      <c r="B538" s="2" t="s">
        <v>120</v>
      </c>
      <c r="C538" s="1">
        <v>2016</v>
      </c>
      <c r="D538" s="4" t="s">
        <v>158</v>
      </c>
      <c r="E538" s="5"/>
      <c r="F538" s="5"/>
      <c r="G538" s="5"/>
      <c r="H538" s="5"/>
      <c r="I538">
        <v>1.8</v>
      </c>
      <c r="J538" s="1">
        <v>1</v>
      </c>
      <c r="K538" s="1">
        <v>0.8</v>
      </c>
      <c r="L538" s="9">
        <v>2.5299999999999998</v>
      </c>
      <c r="M538" s="9">
        <v>10.09</v>
      </c>
      <c r="N538" s="9">
        <v>17.7</v>
      </c>
      <c r="O538" s="9">
        <f>LN(301.26)</f>
        <v>5.7079736792746694</v>
      </c>
      <c r="P538" s="12">
        <v>2.1</v>
      </c>
      <c r="Q538" s="9">
        <v>14.551519411485407</v>
      </c>
      <c r="R538" s="9">
        <v>0.5</v>
      </c>
      <c r="S538" s="9">
        <v>0.43015740182325335</v>
      </c>
    </row>
    <row r="539" spans="1:19" ht="15.6" x14ac:dyDescent="0.3">
      <c r="A539" s="13" t="s">
        <v>200</v>
      </c>
      <c r="B539" s="2" t="s">
        <v>120</v>
      </c>
      <c r="C539" s="1">
        <v>2017</v>
      </c>
      <c r="D539" s="4" t="s">
        <v>158</v>
      </c>
      <c r="E539" s="5"/>
      <c r="F539" s="5"/>
      <c r="G539" s="5"/>
      <c r="H539" s="5"/>
      <c r="I539">
        <v>2</v>
      </c>
      <c r="J539" s="1">
        <v>1</v>
      </c>
      <c r="K539" s="1">
        <v>1</v>
      </c>
      <c r="L539" s="9">
        <v>2.4700000000000002</v>
      </c>
      <c r="M539" s="9">
        <v>20.48</v>
      </c>
      <c r="N539" s="9">
        <v>33.049999999999997</v>
      </c>
      <c r="O539" s="9">
        <f>LN(319.11)</f>
        <v>5.7655358709316831</v>
      </c>
      <c r="P539" s="9">
        <v>3.9</v>
      </c>
      <c r="Q539" s="9">
        <v>14.690920960283385</v>
      </c>
      <c r="R539" s="9">
        <v>0.5</v>
      </c>
      <c r="S539" s="9">
        <v>0.38033093597126499</v>
      </c>
    </row>
    <row r="540" spans="1:19" ht="15.6" x14ac:dyDescent="0.3">
      <c r="A540" s="13" t="s">
        <v>200</v>
      </c>
      <c r="B540" s="2" t="s">
        <v>120</v>
      </c>
      <c r="C540" s="1">
        <v>2018</v>
      </c>
      <c r="D540" s="4" t="s">
        <v>158</v>
      </c>
      <c r="E540" s="5"/>
      <c r="F540" s="5"/>
      <c r="G540" s="5"/>
      <c r="H540" s="5"/>
      <c r="I540">
        <v>1.1000000000000001</v>
      </c>
      <c r="J540" s="1">
        <v>0.5</v>
      </c>
      <c r="K540" s="1">
        <v>0.6</v>
      </c>
      <c r="L540" s="9">
        <v>2.87</v>
      </c>
      <c r="M540" s="9">
        <v>9.27</v>
      </c>
      <c r="N540" s="9">
        <v>14.31</v>
      </c>
      <c r="O540" s="9">
        <f>LN(358.79)</f>
        <v>5.8827372591162019</v>
      </c>
      <c r="P540" s="9">
        <v>0.9</v>
      </c>
      <c r="Q540" s="9">
        <v>14.611199886311834</v>
      </c>
      <c r="R540" s="9">
        <v>0.625</v>
      </c>
      <c r="S540" s="9">
        <v>0.35259218544672127</v>
      </c>
    </row>
    <row r="541" spans="1:19" ht="15.6" x14ac:dyDescent="0.3">
      <c r="A541" s="13" t="s">
        <v>200</v>
      </c>
      <c r="B541" s="2" t="s">
        <v>120</v>
      </c>
      <c r="C541" s="1">
        <v>2019</v>
      </c>
      <c r="D541" s="4" t="s">
        <v>158</v>
      </c>
      <c r="E541" s="5"/>
      <c r="F541" s="5"/>
      <c r="G541" s="5"/>
      <c r="H541" s="5"/>
      <c r="I541">
        <v>2</v>
      </c>
      <c r="J541" s="1">
        <v>1</v>
      </c>
      <c r="K541" s="1">
        <v>1</v>
      </c>
      <c r="L541" s="9">
        <v>2.2999999999999998</v>
      </c>
      <c r="M541" s="9">
        <v>8.3000000000000007</v>
      </c>
      <c r="N541" s="9">
        <v>13.8</v>
      </c>
      <c r="O541" s="9">
        <f>LN(365.18)</f>
        <v>5.9003903827085873</v>
      </c>
      <c r="P541" s="12">
        <v>0.7</v>
      </c>
      <c r="Q541" s="9">
        <v>14.708564596882526</v>
      </c>
      <c r="R541" s="9">
        <v>0.625</v>
      </c>
      <c r="S541" s="9">
        <v>0.39863496682603383</v>
      </c>
    </row>
    <row r="542" spans="1:19" ht="15.6" x14ac:dyDescent="0.3">
      <c r="A542" s="13" t="s">
        <v>200</v>
      </c>
      <c r="B542" s="2" t="s">
        <v>120</v>
      </c>
      <c r="C542" s="1">
        <v>2020</v>
      </c>
      <c r="D542" s="4" t="s">
        <v>158</v>
      </c>
      <c r="E542" s="5"/>
      <c r="F542" s="5"/>
      <c r="G542" s="5"/>
      <c r="H542" s="5"/>
      <c r="I542">
        <v>2</v>
      </c>
      <c r="J542" s="1">
        <v>1</v>
      </c>
      <c r="K542" s="1">
        <v>1</v>
      </c>
      <c r="L542" s="9">
        <v>2.54</v>
      </c>
      <c r="M542" s="9">
        <v>3.3</v>
      </c>
      <c r="N542" s="9">
        <v>4.8600000000000003</v>
      </c>
      <c r="O542" s="9">
        <f>LN(337.46)</f>
        <v>5.8214469847701915</v>
      </c>
      <c r="P542" s="12">
        <v>-0.1</v>
      </c>
      <c r="Q542" s="9">
        <v>14.549385488603606</v>
      </c>
      <c r="R542" s="9">
        <v>0.75</v>
      </c>
      <c r="S542" s="9">
        <v>0.32106481714836804</v>
      </c>
    </row>
    <row r="543" spans="1:19" ht="15.6" x14ac:dyDescent="0.3">
      <c r="A543" s="13" t="s">
        <v>200</v>
      </c>
      <c r="B543" s="2" t="s">
        <v>120</v>
      </c>
      <c r="C543" s="1">
        <v>2021</v>
      </c>
      <c r="D543" s="4" t="s">
        <v>158</v>
      </c>
      <c r="E543" s="5">
        <v>70.5</v>
      </c>
      <c r="F543" s="5">
        <v>54.7</v>
      </c>
      <c r="G543" s="5">
        <v>85.8</v>
      </c>
      <c r="H543" s="5">
        <v>66.5</v>
      </c>
      <c r="I543">
        <v>2</v>
      </c>
      <c r="J543" s="1">
        <v>1</v>
      </c>
      <c r="K543" s="1">
        <v>1</v>
      </c>
      <c r="L543" s="9">
        <v>2.13</v>
      </c>
      <c r="M543" s="9">
        <v>5.52</v>
      </c>
      <c r="N543" s="9">
        <v>9.43</v>
      </c>
      <c r="O543" s="9">
        <f>LN(373.78)</f>
        <v>5.9236673890421567</v>
      </c>
      <c r="P543" s="12">
        <v>2.5</v>
      </c>
      <c r="Q543" s="9">
        <v>14.648003507354659</v>
      </c>
      <c r="R543" s="9">
        <v>0.625</v>
      </c>
      <c r="S543" s="9">
        <v>0.41510619853565156</v>
      </c>
    </row>
    <row r="544" spans="1:19" ht="15.6" x14ac:dyDescent="0.3">
      <c r="A544" s="13" t="s">
        <v>200</v>
      </c>
      <c r="B544" s="2" t="s">
        <v>120</v>
      </c>
      <c r="C544" s="1">
        <v>2022</v>
      </c>
      <c r="D544" s="4" t="s">
        <v>158</v>
      </c>
      <c r="E544" s="5">
        <v>71.599999999999994</v>
      </c>
      <c r="F544" s="5">
        <v>46.4</v>
      </c>
      <c r="G544" s="5">
        <v>88.1</v>
      </c>
      <c r="H544" s="5">
        <v>79.099999999999994</v>
      </c>
      <c r="I544">
        <v>2</v>
      </c>
      <c r="J544" s="1">
        <v>1</v>
      </c>
      <c r="K544" s="1">
        <v>1</v>
      </c>
      <c r="L544" s="9">
        <v>2.0299999999999998</v>
      </c>
      <c r="M544" s="9">
        <v>6.9</v>
      </c>
      <c r="N544" s="9">
        <v>13.42</v>
      </c>
      <c r="O544" s="9">
        <f>LN(407.61)</f>
        <v>6.0103108349043417</v>
      </c>
      <c r="P544" s="12">
        <v>3.4</v>
      </c>
      <c r="Q544" s="9">
        <v>14.751993645102367</v>
      </c>
      <c r="R544" s="9">
        <v>0.75</v>
      </c>
      <c r="S544" s="9">
        <v>0.48591176615860326</v>
      </c>
    </row>
    <row r="545" spans="1:19" ht="15.6" x14ac:dyDescent="0.3">
      <c r="A545" s="13" t="s">
        <v>200</v>
      </c>
      <c r="B545" s="2" t="s">
        <v>120</v>
      </c>
      <c r="C545" s="1">
        <v>2023</v>
      </c>
      <c r="D545" s="4" t="s">
        <v>158</v>
      </c>
      <c r="E545" s="5">
        <v>70.5</v>
      </c>
      <c r="F545" s="5">
        <v>54.7</v>
      </c>
      <c r="G545" s="5">
        <v>85.8</v>
      </c>
      <c r="H545" s="5">
        <v>66.5</v>
      </c>
      <c r="I545">
        <v>2</v>
      </c>
      <c r="J545" s="1">
        <v>1</v>
      </c>
      <c r="K545" s="1">
        <v>1</v>
      </c>
      <c r="L545" s="9">
        <v>1.89</v>
      </c>
      <c r="M545" s="9">
        <v>8.2100000000000009</v>
      </c>
      <c r="N545" s="9">
        <v>16.16</v>
      </c>
      <c r="O545" s="9">
        <f>LN(399.71)</f>
        <v>5.9907392841683871</v>
      </c>
      <c r="P545" s="12">
        <v>2.5</v>
      </c>
      <c r="Q545" s="9">
        <v>14.732516234204788</v>
      </c>
      <c r="R545" s="9">
        <v>0.75</v>
      </c>
      <c r="S545" s="9">
        <v>0.49188260556050312</v>
      </c>
    </row>
    <row r="546" spans="1:19" ht="15.6" x14ac:dyDescent="0.3">
      <c r="A546" s="13" t="s">
        <v>201</v>
      </c>
      <c r="B546" s="2" t="s">
        <v>121</v>
      </c>
      <c r="C546" s="1">
        <v>2016</v>
      </c>
      <c r="D546" s="4" t="s">
        <v>164</v>
      </c>
      <c r="E546" s="5"/>
      <c r="F546" s="5"/>
      <c r="G546" s="5"/>
      <c r="H546" s="5"/>
      <c r="I546">
        <v>0.5</v>
      </c>
      <c r="J546" s="1">
        <v>0.5</v>
      </c>
      <c r="K546" s="1">
        <v>0</v>
      </c>
      <c r="L546" s="9">
        <v>2.5499999999999998</v>
      </c>
      <c r="M546" s="9">
        <v>10.51</v>
      </c>
      <c r="N546" s="9">
        <v>14.3</v>
      </c>
      <c r="O546" s="9">
        <f>LN(301.26)</f>
        <v>5.7079736792746694</v>
      </c>
      <c r="P546" s="12">
        <v>2.1</v>
      </c>
      <c r="Q546" s="9">
        <v>15.121154631037717</v>
      </c>
      <c r="R546" s="9">
        <v>0.4</v>
      </c>
      <c r="S546" s="9">
        <v>0.26534248041701164</v>
      </c>
    </row>
    <row r="547" spans="1:19" ht="15.6" x14ac:dyDescent="0.3">
      <c r="A547" s="13" t="s">
        <v>201</v>
      </c>
      <c r="B547" s="2" t="s">
        <v>121</v>
      </c>
      <c r="C547" s="1">
        <v>2017</v>
      </c>
      <c r="D547" s="4" t="s">
        <v>164</v>
      </c>
      <c r="E547" s="5"/>
      <c r="F547" s="5"/>
      <c r="G547" s="5"/>
      <c r="H547" s="5"/>
      <c r="I547">
        <v>0.5</v>
      </c>
      <c r="J547" s="1">
        <v>0.5</v>
      </c>
      <c r="K547" s="1">
        <v>0</v>
      </c>
      <c r="L547" s="9">
        <v>1.96</v>
      </c>
      <c r="M547" s="9">
        <v>10.17</v>
      </c>
      <c r="N547" s="9">
        <v>14.05</v>
      </c>
      <c r="O547" s="9">
        <f>LN(319.11)</f>
        <v>5.7655358709316831</v>
      </c>
      <c r="P547" s="9">
        <v>3.9</v>
      </c>
      <c r="Q547" s="9">
        <v>15.283297344639511</v>
      </c>
      <c r="R547" s="9">
        <v>0.36363636363636365</v>
      </c>
      <c r="S547" s="9">
        <v>0.27599259843027729</v>
      </c>
    </row>
    <row r="548" spans="1:19" ht="15.6" x14ac:dyDescent="0.3">
      <c r="A548" s="13" t="s">
        <v>201</v>
      </c>
      <c r="B548" s="2" t="s">
        <v>121</v>
      </c>
      <c r="C548" s="1">
        <v>2018</v>
      </c>
      <c r="D548" s="4" t="s">
        <v>164</v>
      </c>
      <c r="E548" s="5"/>
      <c r="F548" s="5"/>
      <c r="G548" s="5"/>
      <c r="H548" s="5"/>
      <c r="I548">
        <v>1.1000000000000001</v>
      </c>
      <c r="J548" s="1">
        <v>0.5</v>
      </c>
      <c r="K548" s="1">
        <v>0.6</v>
      </c>
      <c r="L548" s="9">
        <v>2.08</v>
      </c>
      <c r="M548" s="9">
        <v>9.81</v>
      </c>
      <c r="N548" s="9">
        <v>13.58</v>
      </c>
      <c r="O548" s="9">
        <f>LN(358.79)</f>
        <v>5.8827372591162019</v>
      </c>
      <c r="P548" s="9">
        <v>0.9</v>
      </c>
      <c r="Q548" s="9">
        <v>15.300743961141556</v>
      </c>
      <c r="R548" s="9">
        <v>0.36363636363636365</v>
      </c>
      <c r="S548" s="9">
        <v>0.27772511569303959</v>
      </c>
    </row>
    <row r="549" spans="1:19" ht="15.6" x14ac:dyDescent="0.3">
      <c r="A549" s="13" t="s">
        <v>201</v>
      </c>
      <c r="B549" s="2" t="s">
        <v>121</v>
      </c>
      <c r="C549" s="1">
        <v>2019</v>
      </c>
      <c r="D549" s="4" t="s">
        <v>164</v>
      </c>
      <c r="E549" s="5"/>
      <c r="F549" s="5"/>
      <c r="G549" s="5"/>
      <c r="H549" s="5"/>
      <c r="I549">
        <v>0</v>
      </c>
      <c r="J549" s="1">
        <v>0</v>
      </c>
      <c r="K549" s="1">
        <v>0</v>
      </c>
      <c r="L549" s="9">
        <v>1.68</v>
      </c>
      <c r="M549" s="9">
        <v>9.8800000000000008</v>
      </c>
      <c r="N549" s="9">
        <v>14.27</v>
      </c>
      <c r="O549" s="9">
        <f>LN(365.18)</f>
        <v>5.9003903827085873</v>
      </c>
      <c r="P549" s="12">
        <v>0.7</v>
      </c>
      <c r="Q549" s="9">
        <v>15.381042976777303</v>
      </c>
      <c r="R549" s="9">
        <v>0.36363636363636365</v>
      </c>
      <c r="S549" s="9">
        <v>0.30731677652572859</v>
      </c>
    </row>
    <row r="550" spans="1:19" ht="15.6" x14ac:dyDescent="0.3">
      <c r="A550" s="13" t="s">
        <v>201</v>
      </c>
      <c r="B550" s="2" t="s">
        <v>121</v>
      </c>
      <c r="C550" s="1">
        <v>2020</v>
      </c>
      <c r="D550" s="4" t="s">
        <v>164</v>
      </c>
      <c r="E550" s="5"/>
      <c r="F550" s="5"/>
      <c r="G550" s="5"/>
      <c r="H550" s="5"/>
      <c r="I550">
        <v>0.7</v>
      </c>
      <c r="J550" s="1">
        <v>0.5</v>
      </c>
      <c r="K550" s="1">
        <v>0.2</v>
      </c>
      <c r="L550" s="9">
        <v>1.85</v>
      </c>
      <c r="M550" s="9">
        <v>10.96</v>
      </c>
      <c r="N550" s="9">
        <v>15.5</v>
      </c>
      <c r="O550" s="9">
        <f>LN(337.46)</f>
        <v>5.8214469847701915</v>
      </c>
      <c r="P550" s="12">
        <v>-0.1</v>
      </c>
      <c r="Q550" s="9">
        <v>15.335307530044499</v>
      </c>
      <c r="R550" s="9">
        <v>0.41666666666666669</v>
      </c>
      <c r="S550" s="9">
        <v>0.29306037214383579</v>
      </c>
    </row>
    <row r="551" spans="1:19" ht="15.6" x14ac:dyDescent="0.3">
      <c r="A551" s="13" t="s">
        <v>201</v>
      </c>
      <c r="B551" s="2" t="s">
        <v>121</v>
      </c>
      <c r="C551" s="1">
        <v>2021</v>
      </c>
      <c r="D551" s="4" t="s">
        <v>164</v>
      </c>
      <c r="E551" s="5">
        <v>68.099999999999994</v>
      </c>
      <c r="F551" s="5">
        <v>59</v>
      </c>
      <c r="G551" s="5">
        <v>69.3</v>
      </c>
      <c r="H551" s="5">
        <v>79.2</v>
      </c>
      <c r="I551">
        <v>0.9</v>
      </c>
      <c r="J551" s="1">
        <v>0.5</v>
      </c>
      <c r="K551" s="1">
        <v>0.4</v>
      </c>
      <c r="L551" s="9">
        <v>1.86</v>
      </c>
      <c r="M551" s="9">
        <v>10.37</v>
      </c>
      <c r="N551" s="9">
        <v>14.91</v>
      </c>
      <c r="O551" s="9">
        <f>LN(373.78)</f>
        <v>5.9236673890421567</v>
      </c>
      <c r="P551" s="12">
        <v>2.5</v>
      </c>
      <c r="Q551" s="9">
        <v>15.340342851795471</v>
      </c>
      <c r="R551" s="9">
        <v>0.5</v>
      </c>
      <c r="S551" s="9">
        <v>0.30473059109480227</v>
      </c>
    </row>
    <row r="552" spans="1:19" ht="15.6" x14ac:dyDescent="0.3">
      <c r="A552" s="13" t="s">
        <v>201</v>
      </c>
      <c r="B552" s="2" t="s">
        <v>121</v>
      </c>
      <c r="C552" s="1">
        <v>2022</v>
      </c>
      <c r="D552" s="4" t="s">
        <v>164</v>
      </c>
      <c r="E552" s="5">
        <v>62.8</v>
      </c>
      <c r="F552" s="5">
        <v>59.3</v>
      </c>
      <c r="G552" s="5">
        <v>64.400000000000006</v>
      </c>
      <c r="H552" s="5">
        <v>65.400000000000006</v>
      </c>
      <c r="I552">
        <v>1.8</v>
      </c>
      <c r="J552" s="1">
        <v>1</v>
      </c>
      <c r="K552" s="1">
        <v>0.8</v>
      </c>
      <c r="L552" s="9">
        <v>1.72</v>
      </c>
      <c r="M552" s="9">
        <v>8.36</v>
      </c>
      <c r="N552" s="9">
        <v>12.27</v>
      </c>
      <c r="O552" s="9">
        <f>LN(407.61)</f>
        <v>6.0103108349043417</v>
      </c>
      <c r="P552" s="12">
        <v>3.4</v>
      </c>
      <c r="Q552" s="9">
        <v>15.310985503977628</v>
      </c>
      <c r="R552" s="9">
        <v>0.5</v>
      </c>
      <c r="S552" s="9">
        <v>0.31889641383808648</v>
      </c>
    </row>
    <row r="553" spans="1:19" ht="15.6" x14ac:dyDescent="0.3">
      <c r="A553" s="13" t="s">
        <v>201</v>
      </c>
      <c r="B553" s="2" t="s">
        <v>121</v>
      </c>
      <c r="C553" s="1">
        <v>2023</v>
      </c>
      <c r="D553" s="4" t="s">
        <v>164</v>
      </c>
      <c r="E553" s="5">
        <v>68.099999999999994</v>
      </c>
      <c r="F553" s="5">
        <v>59</v>
      </c>
      <c r="G553" s="5">
        <v>69.3</v>
      </c>
      <c r="H553" s="5">
        <v>79.2</v>
      </c>
      <c r="I553">
        <v>2</v>
      </c>
      <c r="J553" s="1">
        <v>1</v>
      </c>
      <c r="K553" s="1">
        <v>1</v>
      </c>
      <c r="L553" s="9">
        <v>1.78</v>
      </c>
      <c r="M553" s="9">
        <v>9.42</v>
      </c>
      <c r="N553" s="9">
        <v>13.17</v>
      </c>
      <c r="O553" s="9">
        <f>LN(399.71)</f>
        <v>5.9907392841683871</v>
      </c>
      <c r="P553" s="12">
        <v>2.5</v>
      </c>
      <c r="Q553" s="9">
        <v>15.252407249811297</v>
      </c>
      <c r="R553" s="9">
        <v>0.5</v>
      </c>
      <c r="S553" s="9">
        <v>0.28490347745446476</v>
      </c>
    </row>
    <row r="554" spans="1:19" ht="15.6" x14ac:dyDescent="0.3">
      <c r="A554" s="13" t="s">
        <v>202</v>
      </c>
      <c r="B554" s="2" t="s">
        <v>122</v>
      </c>
      <c r="C554" s="1">
        <v>2016</v>
      </c>
      <c r="D554" s="4" t="s">
        <v>158</v>
      </c>
      <c r="E554" s="5">
        <v>24.9</v>
      </c>
      <c r="F554" s="5">
        <v>17</v>
      </c>
      <c r="G554" s="5">
        <v>32.5</v>
      </c>
      <c r="H554" s="5">
        <v>23.4</v>
      </c>
      <c r="I554">
        <v>1.8</v>
      </c>
      <c r="J554" s="1">
        <v>1</v>
      </c>
      <c r="K554" s="1">
        <v>0.8</v>
      </c>
      <c r="L554" s="9">
        <v>0.83</v>
      </c>
      <c r="M554" s="9">
        <v>4.6100000000000003</v>
      </c>
      <c r="N554" s="9">
        <v>4.8899999999999997</v>
      </c>
      <c r="O554" s="9">
        <f>LN(301.26)</f>
        <v>5.7079736792746694</v>
      </c>
      <c r="P554" s="12">
        <v>2.1</v>
      </c>
      <c r="Q554" s="9">
        <v>15.436310675375166</v>
      </c>
      <c r="R554" s="9">
        <v>0.55555555555555558</v>
      </c>
      <c r="S554" s="9">
        <v>5.7565400172231905E-2</v>
      </c>
    </row>
    <row r="555" spans="1:19" ht="15.6" x14ac:dyDescent="0.3">
      <c r="A555" s="13" t="s">
        <v>202</v>
      </c>
      <c r="B555" s="2" t="s">
        <v>122</v>
      </c>
      <c r="C555" s="1">
        <v>2017</v>
      </c>
      <c r="D555" s="4" t="s">
        <v>158</v>
      </c>
      <c r="E555" s="5">
        <v>34.4</v>
      </c>
      <c r="F555" s="5">
        <v>52</v>
      </c>
      <c r="G555" s="5">
        <v>31.7</v>
      </c>
      <c r="H555" s="5">
        <v>17.600000000000001</v>
      </c>
      <c r="I555">
        <v>1.8</v>
      </c>
      <c r="J555" s="1">
        <v>1</v>
      </c>
      <c r="K555" s="1">
        <v>0.8</v>
      </c>
      <c r="L555" s="9">
        <v>0.89</v>
      </c>
      <c r="M555" s="9">
        <v>5.16</v>
      </c>
      <c r="N555" s="9">
        <v>5.54</v>
      </c>
      <c r="O555" s="9">
        <f>LN(319.11)</f>
        <v>5.7655358709316831</v>
      </c>
      <c r="P555" s="9">
        <v>3.9</v>
      </c>
      <c r="Q555" s="9">
        <v>15.546677488194568</v>
      </c>
      <c r="R555" s="9">
        <v>0.55555555555555558</v>
      </c>
      <c r="S555" s="9">
        <v>6.9014775359290556E-2</v>
      </c>
    </row>
    <row r="556" spans="1:19" ht="15.6" x14ac:dyDescent="0.3">
      <c r="A556" s="13" t="s">
        <v>202</v>
      </c>
      <c r="B556" s="2" t="s">
        <v>122</v>
      </c>
      <c r="C556" s="1">
        <v>2018</v>
      </c>
      <c r="D556" s="4" t="s">
        <v>158</v>
      </c>
      <c r="E556" s="5">
        <v>34.4</v>
      </c>
      <c r="F556" s="5">
        <v>40.1</v>
      </c>
      <c r="G556" s="5">
        <v>43.6</v>
      </c>
      <c r="H556" s="5">
        <v>14.6</v>
      </c>
      <c r="I556">
        <v>1.8</v>
      </c>
      <c r="J556" s="1">
        <v>1</v>
      </c>
      <c r="K556" s="1">
        <v>0.8</v>
      </c>
      <c r="L556" s="9">
        <v>1.08</v>
      </c>
      <c r="M556" s="9">
        <v>4.63</v>
      </c>
      <c r="N556" s="9">
        <v>4.95</v>
      </c>
      <c r="O556" s="9">
        <f>LN(358.79)</f>
        <v>5.8827372591162019</v>
      </c>
      <c r="P556" s="9">
        <v>0.9</v>
      </c>
      <c r="Q556" s="9">
        <v>15.541252724306906</v>
      </c>
      <c r="R556" s="9">
        <v>0.55555555555555558</v>
      </c>
      <c r="S556" s="9">
        <v>6.486616311961782E-2</v>
      </c>
    </row>
    <row r="557" spans="1:19" ht="15.6" x14ac:dyDescent="0.3">
      <c r="A557" s="13" t="s">
        <v>202</v>
      </c>
      <c r="B557" s="2" t="s">
        <v>122</v>
      </c>
      <c r="C557" s="1">
        <v>2019</v>
      </c>
      <c r="D557" s="4" t="s">
        <v>158</v>
      </c>
      <c r="E557" s="5">
        <v>45</v>
      </c>
      <c r="F557" s="5">
        <v>65.8</v>
      </c>
      <c r="G557" s="5">
        <v>48.7</v>
      </c>
      <c r="H557" s="5">
        <v>15.4</v>
      </c>
      <c r="I557">
        <v>1.8</v>
      </c>
      <c r="J557" s="1">
        <v>1</v>
      </c>
      <c r="K557" s="1">
        <v>0.8</v>
      </c>
      <c r="L557" s="9">
        <v>1.1399999999999999</v>
      </c>
      <c r="M557" s="9">
        <v>4.88</v>
      </c>
      <c r="N557" s="9">
        <v>5.2</v>
      </c>
      <c r="O557" s="9">
        <f>LN(365.18)</f>
        <v>5.9003903827085873</v>
      </c>
      <c r="P557" s="12">
        <v>0.7</v>
      </c>
      <c r="Q557" s="9">
        <v>15.566743128016048</v>
      </c>
      <c r="R557" s="9">
        <v>0.55555555555555558</v>
      </c>
      <c r="S557" s="9">
        <v>6.1449572174878939E-2</v>
      </c>
    </row>
    <row r="558" spans="1:19" ht="15.6" x14ac:dyDescent="0.3">
      <c r="A558" s="13" t="s">
        <v>202</v>
      </c>
      <c r="B558" s="2" t="s">
        <v>122</v>
      </c>
      <c r="C558" s="1">
        <v>2020</v>
      </c>
      <c r="D558" s="4" t="s">
        <v>158</v>
      </c>
      <c r="E558" s="5">
        <v>58.4</v>
      </c>
      <c r="F558" s="5">
        <v>73.3</v>
      </c>
      <c r="G558" s="5">
        <v>62.2</v>
      </c>
      <c r="H558" s="5">
        <v>35.5</v>
      </c>
      <c r="I558">
        <v>1.8</v>
      </c>
      <c r="J558" s="1">
        <v>1</v>
      </c>
      <c r="K558" s="1">
        <v>0.8</v>
      </c>
      <c r="L558" s="9">
        <v>1.06</v>
      </c>
      <c r="M558" s="9">
        <v>5.29</v>
      </c>
      <c r="N558" s="9">
        <v>5.59</v>
      </c>
      <c r="O558" s="9">
        <f>LN(337.46)</f>
        <v>5.8214469847701915</v>
      </c>
      <c r="P558" s="12">
        <v>-0.1</v>
      </c>
      <c r="Q558" s="9">
        <v>15.640182745689144</v>
      </c>
      <c r="R558" s="9">
        <v>0.55555555555555558</v>
      </c>
      <c r="S558" s="9">
        <v>5.3738556648360317E-2</v>
      </c>
    </row>
    <row r="559" spans="1:19" ht="15.6" x14ac:dyDescent="0.3">
      <c r="A559" s="13" t="s">
        <v>202</v>
      </c>
      <c r="B559" s="2" t="s">
        <v>122</v>
      </c>
      <c r="C559" s="1">
        <v>2021</v>
      </c>
      <c r="D559" s="4" t="s">
        <v>158</v>
      </c>
      <c r="E559" s="5">
        <v>44.9</v>
      </c>
      <c r="F559" s="5">
        <v>48.1</v>
      </c>
      <c r="G559" s="5">
        <v>44.2</v>
      </c>
      <c r="H559" s="5">
        <v>42.6</v>
      </c>
      <c r="I559">
        <v>1.8</v>
      </c>
      <c r="J559" s="1">
        <v>1</v>
      </c>
      <c r="K559" s="1">
        <v>0.8</v>
      </c>
      <c r="L559" s="9">
        <v>0.89</v>
      </c>
      <c r="M559" s="9">
        <v>5.46</v>
      </c>
      <c r="N559" s="9">
        <v>5.94</v>
      </c>
      <c r="O559" s="9">
        <f>LN(373.78)</f>
        <v>5.9236673890421567</v>
      </c>
      <c r="P559" s="12">
        <v>2.5</v>
      </c>
      <c r="Q559" s="9">
        <v>15.696596125923149</v>
      </c>
      <c r="R559" s="9">
        <v>0.55555555555555558</v>
      </c>
      <c r="S559" s="9">
        <v>8.0915638651999966E-2</v>
      </c>
    </row>
    <row r="560" spans="1:19" ht="15.6" x14ac:dyDescent="0.3">
      <c r="A560" s="13" t="s">
        <v>202</v>
      </c>
      <c r="B560" s="2" t="s">
        <v>122</v>
      </c>
      <c r="C560" s="1">
        <v>2022</v>
      </c>
      <c r="D560" s="4" t="s">
        <v>158</v>
      </c>
      <c r="E560" s="5">
        <v>54.1</v>
      </c>
      <c r="F560" s="5">
        <v>48.3</v>
      </c>
      <c r="G560" s="5">
        <v>56.1</v>
      </c>
      <c r="H560" s="5">
        <v>56.8</v>
      </c>
      <c r="I560">
        <v>2</v>
      </c>
      <c r="J560" s="1">
        <v>1</v>
      </c>
      <c r="K560" s="1">
        <v>1</v>
      </c>
      <c r="L560" s="9">
        <v>0.86</v>
      </c>
      <c r="M560" s="9">
        <v>7.59</v>
      </c>
      <c r="N560" s="9">
        <v>8.27</v>
      </c>
      <c r="O560" s="9">
        <f>LN(407.61)</f>
        <v>6.0103108349043417</v>
      </c>
      <c r="P560" s="12">
        <v>3.4</v>
      </c>
      <c r="Q560" s="9">
        <v>15.695927520810484</v>
      </c>
      <c r="R560" s="9">
        <v>0.66666666666666663</v>
      </c>
      <c r="S560" s="9">
        <v>8.1712713906969214E-2</v>
      </c>
    </row>
    <row r="561" spans="1:19" ht="15.6" x14ac:dyDescent="0.3">
      <c r="A561" s="13" t="s">
        <v>202</v>
      </c>
      <c r="B561" s="2" t="s">
        <v>122</v>
      </c>
      <c r="C561" s="1">
        <v>2023</v>
      </c>
      <c r="D561" s="4" t="s">
        <v>158</v>
      </c>
      <c r="E561" s="5">
        <v>44.9</v>
      </c>
      <c r="F561" s="5">
        <v>48.1</v>
      </c>
      <c r="G561" s="5">
        <v>44.2</v>
      </c>
      <c r="H561" s="5">
        <v>42.6</v>
      </c>
      <c r="I561">
        <v>2</v>
      </c>
      <c r="J561" s="1">
        <v>1</v>
      </c>
      <c r="K561" s="1">
        <v>1</v>
      </c>
      <c r="L561" s="9">
        <v>0.7</v>
      </c>
      <c r="M561" s="9">
        <v>4.74</v>
      </c>
      <c r="N561" s="9">
        <v>5.01</v>
      </c>
      <c r="O561" s="9">
        <f>LN(399.71)</f>
        <v>5.9907392841683871</v>
      </c>
      <c r="P561" s="12">
        <v>2.5</v>
      </c>
      <c r="Q561" s="9">
        <v>15.672582935914424</v>
      </c>
      <c r="R561" s="9">
        <v>0.7</v>
      </c>
      <c r="S561" s="9">
        <v>5.431058252060357E-2</v>
      </c>
    </row>
    <row r="562" spans="1:19" ht="15.6" x14ac:dyDescent="0.3">
      <c r="A562" s="13" t="s">
        <v>203</v>
      </c>
      <c r="B562" s="2" t="s">
        <v>123</v>
      </c>
      <c r="C562" s="1">
        <v>2016</v>
      </c>
      <c r="D562" s="4" t="s">
        <v>160</v>
      </c>
      <c r="E562" s="5"/>
      <c r="F562" s="5"/>
      <c r="G562" s="5"/>
      <c r="H562" s="5"/>
      <c r="I562">
        <v>1.3</v>
      </c>
      <c r="J562" s="1">
        <v>0.5</v>
      </c>
      <c r="K562" s="1">
        <v>0.8</v>
      </c>
      <c r="L562" s="9"/>
      <c r="M562" s="9">
        <v>6.28</v>
      </c>
      <c r="N562" s="9">
        <v>17.8</v>
      </c>
      <c r="O562" s="9">
        <f>LN(301.26)</f>
        <v>5.7079736792746694</v>
      </c>
      <c r="P562" s="12">
        <v>2.1</v>
      </c>
      <c r="Q562" s="9">
        <v>14.356007598989724</v>
      </c>
      <c r="R562" s="9">
        <v>0.375</v>
      </c>
      <c r="S562" s="9">
        <v>0.64731253567559377</v>
      </c>
    </row>
    <row r="563" spans="1:19" ht="15.6" x14ac:dyDescent="0.3">
      <c r="A563" s="13" t="s">
        <v>203</v>
      </c>
      <c r="B563" s="2" t="s">
        <v>123</v>
      </c>
      <c r="C563" s="1">
        <v>2017</v>
      </c>
      <c r="D563" s="4" t="s">
        <v>160</v>
      </c>
      <c r="E563" s="5"/>
      <c r="F563" s="5"/>
      <c r="G563" s="5"/>
      <c r="H563" s="5"/>
      <c r="I563">
        <v>1.1000000000000001</v>
      </c>
      <c r="J563" s="1">
        <v>0.5</v>
      </c>
      <c r="K563" s="1">
        <v>0.6</v>
      </c>
      <c r="L563" s="9"/>
      <c r="M563" s="9">
        <v>7.51</v>
      </c>
      <c r="N563" s="9">
        <v>19.98</v>
      </c>
      <c r="O563" s="9">
        <f>LN(319.11)</f>
        <v>5.7655358709316831</v>
      </c>
      <c r="P563" s="9">
        <v>3.9</v>
      </c>
      <c r="Q563" s="9">
        <v>14.480398171910426</v>
      </c>
      <c r="R563" s="9">
        <v>0.3</v>
      </c>
      <c r="S563" s="9">
        <v>0.62388235802398018</v>
      </c>
    </row>
    <row r="564" spans="1:19" ht="15.6" x14ac:dyDescent="0.3">
      <c r="A564" s="13" t="s">
        <v>203</v>
      </c>
      <c r="B564" s="2" t="s">
        <v>123</v>
      </c>
      <c r="C564" s="1">
        <v>2018</v>
      </c>
      <c r="D564" s="4" t="s">
        <v>160</v>
      </c>
      <c r="E564" s="5"/>
      <c r="F564" s="5"/>
      <c r="G564" s="5"/>
      <c r="H564" s="5"/>
      <c r="I564">
        <v>1.1000000000000001</v>
      </c>
      <c r="J564" s="1">
        <v>0.5</v>
      </c>
      <c r="K564" s="1">
        <v>0.6</v>
      </c>
      <c r="L564" s="9"/>
      <c r="M564" s="9">
        <v>7.42</v>
      </c>
      <c r="N564" s="9">
        <v>15.37</v>
      </c>
      <c r="O564" s="9">
        <f>LN(358.79)</f>
        <v>5.8827372591162019</v>
      </c>
      <c r="P564" s="9">
        <v>0.9</v>
      </c>
      <c r="Q564" s="9">
        <v>14.516423506739226</v>
      </c>
      <c r="R564" s="9">
        <v>0.36363636363636365</v>
      </c>
      <c r="S564" s="9">
        <v>0.51716468412258032</v>
      </c>
    </row>
    <row r="565" spans="1:19" ht="15.6" x14ac:dyDescent="0.3">
      <c r="A565" s="13" t="s">
        <v>203</v>
      </c>
      <c r="B565" s="2" t="s">
        <v>123</v>
      </c>
      <c r="C565" s="1">
        <v>2019</v>
      </c>
      <c r="D565" s="4" t="s">
        <v>160</v>
      </c>
      <c r="E565" s="5"/>
      <c r="F565" s="5"/>
      <c r="G565" s="5"/>
      <c r="H565" s="5"/>
      <c r="I565">
        <v>1.1000000000000001</v>
      </c>
      <c r="J565" s="1">
        <v>0.5</v>
      </c>
      <c r="K565" s="1">
        <v>0.6</v>
      </c>
      <c r="L565" s="9"/>
      <c r="M565" s="9">
        <v>4.91</v>
      </c>
      <c r="N565" s="9">
        <v>10.58</v>
      </c>
      <c r="O565" s="9">
        <f>LN(365.18)</f>
        <v>5.9003903827085873</v>
      </c>
      <c r="P565" s="12">
        <v>0.7</v>
      </c>
      <c r="Q565" s="9">
        <v>14.674406471586572</v>
      </c>
      <c r="R565" s="9">
        <v>0.36363636363636365</v>
      </c>
      <c r="S565" s="9">
        <v>0.53628831888121131</v>
      </c>
    </row>
    <row r="566" spans="1:19" ht="15.6" x14ac:dyDescent="0.3">
      <c r="A566" s="13" t="s">
        <v>203</v>
      </c>
      <c r="B566" s="2" t="s">
        <v>123</v>
      </c>
      <c r="C566" s="1">
        <v>2020</v>
      </c>
      <c r="D566" s="4" t="s">
        <v>160</v>
      </c>
      <c r="E566" s="5"/>
      <c r="F566" s="5"/>
      <c r="G566" s="5"/>
      <c r="H566" s="5"/>
      <c r="I566">
        <v>1.1000000000000001</v>
      </c>
      <c r="J566" s="1">
        <v>0.5</v>
      </c>
      <c r="K566" s="1">
        <v>0.6</v>
      </c>
      <c r="L566" s="9"/>
      <c r="M566" s="9">
        <v>3.85</v>
      </c>
      <c r="N566" s="9">
        <v>9.4</v>
      </c>
      <c r="O566" s="9">
        <f>LN(337.46)</f>
        <v>5.8214469847701915</v>
      </c>
      <c r="P566" s="12">
        <v>-0.1</v>
      </c>
      <c r="Q566" s="9">
        <v>14.905398230950034</v>
      </c>
      <c r="R566" s="9">
        <v>0.36363636363636365</v>
      </c>
      <c r="S566" s="9">
        <v>0.59027014667410904</v>
      </c>
    </row>
    <row r="567" spans="1:19" ht="15.6" x14ac:dyDescent="0.3">
      <c r="A567" s="13" t="s">
        <v>203</v>
      </c>
      <c r="B567" s="2" t="s">
        <v>123</v>
      </c>
      <c r="C567" s="1">
        <v>2021</v>
      </c>
      <c r="D567" s="4" t="s">
        <v>160</v>
      </c>
      <c r="E567" s="5">
        <v>75.8</v>
      </c>
      <c r="F567" s="5">
        <v>79</v>
      </c>
      <c r="G567" s="5">
        <v>71.599999999999994</v>
      </c>
      <c r="H567" s="5">
        <v>78.2</v>
      </c>
      <c r="I567">
        <v>1.1000000000000001</v>
      </c>
      <c r="J567" s="1">
        <v>0.5</v>
      </c>
      <c r="K567" s="1">
        <v>0.6</v>
      </c>
      <c r="L567" s="9"/>
      <c r="M567" s="9">
        <v>7.05</v>
      </c>
      <c r="N567" s="9">
        <v>20.36</v>
      </c>
      <c r="O567" s="9">
        <f>LN(373.78)</f>
        <v>5.9236673890421567</v>
      </c>
      <c r="P567" s="12">
        <v>2.5</v>
      </c>
      <c r="Q567" s="9">
        <v>15.040166778048912</v>
      </c>
      <c r="R567" s="9">
        <v>0.41666666666666669</v>
      </c>
      <c r="S567" s="9">
        <v>0.65379741851004236</v>
      </c>
    </row>
    <row r="568" spans="1:19" ht="15.6" x14ac:dyDescent="0.3">
      <c r="A568" s="13" t="s">
        <v>203</v>
      </c>
      <c r="B568" s="2" t="s">
        <v>123</v>
      </c>
      <c r="C568" s="1">
        <v>2022</v>
      </c>
      <c r="D568" s="4" t="s">
        <v>160</v>
      </c>
      <c r="E568" s="5">
        <v>80.2</v>
      </c>
      <c r="F568" s="5">
        <v>77</v>
      </c>
      <c r="G568" s="5">
        <v>80.2</v>
      </c>
      <c r="H568" s="5">
        <v>84.8</v>
      </c>
      <c r="I568">
        <v>1.3</v>
      </c>
      <c r="J568" s="1">
        <v>0.5</v>
      </c>
      <c r="K568" s="1">
        <v>0.8</v>
      </c>
      <c r="L568" s="9"/>
      <c r="M568" s="9">
        <v>9.19</v>
      </c>
      <c r="N568" s="9">
        <v>17.57</v>
      </c>
      <c r="O568" s="9">
        <f>LN(407.61)</f>
        <v>6.0103108349043417</v>
      </c>
      <c r="P568" s="12">
        <v>3.4</v>
      </c>
      <c r="Q568" s="9">
        <v>15.059872335070082</v>
      </c>
      <c r="R568" s="9">
        <v>0.38461538461538464</v>
      </c>
      <c r="S568" s="9">
        <v>0.47733077785899691</v>
      </c>
    </row>
    <row r="569" spans="1:19" ht="15.6" x14ac:dyDescent="0.3">
      <c r="A569" s="13" t="s">
        <v>203</v>
      </c>
      <c r="B569" s="2" t="s">
        <v>123</v>
      </c>
      <c r="C569" s="1">
        <v>2023</v>
      </c>
      <c r="D569" s="4" t="s">
        <v>160</v>
      </c>
      <c r="E569" s="5">
        <v>75.8</v>
      </c>
      <c r="F569" s="5">
        <v>79</v>
      </c>
      <c r="G569" s="5">
        <v>71.599999999999994</v>
      </c>
      <c r="H569" s="5">
        <v>78.2</v>
      </c>
      <c r="I569">
        <v>1.1000000000000001</v>
      </c>
      <c r="J569" s="1">
        <v>0.5</v>
      </c>
      <c r="K569" s="1">
        <v>0.6</v>
      </c>
      <c r="L569" s="9"/>
      <c r="M569" s="9">
        <v>7.91</v>
      </c>
      <c r="N569" s="9">
        <v>14.47</v>
      </c>
      <c r="O569" s="9">
        <f>LN(399.71)</f>
        <v>5.9907392841683871</v>
      </c>
      <c r="P569" s="12">
        <v>2.5</v>
      </c>
      <c r="Q569" s="9">
        <v>15.023491917287606</v>
      </c>
      <c r="R569" s="9">
        <v>0.46153846153846156</v>
      </c>
      <c r="S569" s="9">
        <v>0.45359907395953414</v>
      </c>
    </row>
    <row r="570" spans="1:19" ht="15.6" x14ac:dyDescent="0.3">
      <c r="A570" s="13" t="s">
        <v>204</v>
      </c>
      <c r="B570" s="2" t="s">
        <v>124</v>
      </c>
      <c r="C570" s="1">
        <v>2016</v>
      </c>
      <c r="D570" s="4" t="s">
        <v>155</v>
      </c>
      <c r="E570" s="5"/>
      <c r="F570" s="5"/>
      <c r="G570" s="5"/>
      <c r="H570" s="5"/>
      <c r="I570">
        <v>1.3</v>
      </c>
      <c r="J570" s="1">
        <v>0.5</v>
      </c>
      <c r="K570" s="1">
        <v>0.8</v>
      </c>
      <c r="L570" s="9">
        <v>0.2</v>
      </c>
      <c r="M570" s="9">
        <v>1.39</v>
      </c>
      <c r="N570" s="9">
        <v>14.9</v>
      </c>
      <c r="O570" s="9">
        <f>LN(301.26)</f>
        <v>5.7079736792746694</v>
      </c>
      <c r="P570" s="12">
        <v>2.1</v>
      </c>
      <c r="Q570" s="9">
        <v>18.254859379177734</v>
      </c>
      <c r="R570" s="9">
        <v>0.6428571428571429</v>
      </c>
      <c r="S570" s="9">
        <v>0.90695038120742466</v>
      </c>
    </row>
    <row r="571" spans="1:19" ht="15.6" x14ac:dyDescent="0.3">
      <c r="A571" s="13" t="s">
        <v>204</v>
      </c>
      <c r="B571" s="2" t="s">
        <v>124</v>
      </c>
      <c r="C571" s="1">
        <v>2017</v>
      </c>
      <c r="D571" s="4" t="s">
        <v>155</v>
      </c>
      <c r="E571" s="5"/>
      <c r="F571" s="5"/>
      <c r="G571" s="5"/>
      <c r="H571" s="5"/>
      <c r="I571">
        <v>0.7</v>
      </c>
      <c r="J571" s="1">
        <v>0.5</v>
      </c>
      <c r="K571" s="1">
        <v>0.2</v>
      </c>
      <c r="L571" s="9">
        <v>0.2</v>
      </c>
      <c r="M571" s="9">
        <v>1.4</v>
      </c>
      <c r="N571" s="9">
        <v>14.43</v>
      </c>
      <c r="O571" s="9">
        <f>LN(319.11)</f>
        <v>5.7655358709316831</v>
      </c>
      <c r="P571" s="9">
        <v>3.9</v>
      </c>
      <c r="Q571" s="9">
        <v>18.393419952161068</v>
      </c>
      <c r="R571" s="9">
        <v>0.6428571428571429</v>
      </c>
      <c r="S571" s="9">
        <v>0.90273723426405239</v>
      </c>
    </row>
    <row r="572" spans="1:19" ht="15.6" x14ac:dyDescent="0.3">
      <c r="A572" s="13" t="s">
        <v>204</v>
      </c>
      <c r="B572" s="2" t="s">
        <v>124</v>
      </c>
      <c r="C572" s="1">
        <v>2018</v>
      </c>
      <c r="D572" s="4" t="s">
        <v>155</v>
      </c>
      <c r="E572" s="5"/>
      <c r="F572" s="5"/>
      <c r="G572" s="5"/>
      <c r="H572" s="5"/>
      <c r="I572">
        <v>1.1000000000000001</v>
      </c>
      <c r="J572" s="1">
        <v>0.5</v>
      </c>
      <c r="K572" s="1">
        <v>0.6</v>
      </c>
      <c r="L572" s="9">
        <v>0.23</v>
      </c>
      <c r="M572" s="9">
        <v>1.35</v>
      </c>
      <c r="N572" s="9">
        <v>13.46</v>
      </c>
      <c r="O572" s="9">
        <f>LN(358.79)</f>
        <v>5.8827372591162019</v>
      </c>
      <c r="P572" s="9">
        <v>0.9</v>
      </c>
      <c r="Q572" s="9">
        <v>18.434701334503853</v>
      </c>
      <c r="R572" s="9">
        <v>0.6428571428571429</v>
      </c>
      <c r="S572" s="9">
        <v>0.89969707115535336</v>
      </c>
    </row>
    <row r="573" spans="1:19" ht="15.6" x14ac:dyDescent="0.3">
      <c r="A573" s="13" t="s">
        <v>204</v>
      </c>
      <c r="B573" s="2" t="s">
        <v>124</v>
      </c>
      <c r="C573" s="1">
        <v>2019</v>
      </c>
      <c r="D573" s="4" t="s">
        <v>155</v>
      </c>
      <c r="E573" s="5"/>
      <c r="F573" s="5"/>
      <c r="G573" s="5"/>
      <c r="H573" s="5"/>
      <c r="I573">
        <v>1.8</v>
      </c>
      <c r="J573" s="1">
        <v>1</v>
      </c>
      <c r="K573" s="1">
        <v>0.8</v>
      </c>
      <c r="L573" s="9">
        <v>0.17</v>
      </c>
      <c r="M573" s="9">
        <v>1.29</v>
      </c>
      <c r="N573" s="9">
        <v>12.47</v>
      </c>
      <c r="O573" s="9">
        <f>LN(365.18)</f>
        <v>5.9003903827085873</v>
      </c>
      <c r="P573" s="12">
        <v>0.7</v>
      </c>
      <c r="Q573" s="9">
        <v>18.476701126035309</v>
      </c>
      <c r="R573" s="9">
        <v>0.5</v>
      </c>
      <c r="S573" s="9">
        <v>0.89661960952979636</v>
      </c>
    </row>
    <row r="574" spans="1:19" ht="15.6" x14ac:dyDescent="0.3">
      <c r="A574" s="13" t="s">
        <v>204</v>
      </c>
      <c r="B574" s="2" t="s">
        <v>124</v>
      </c>
      <c r="C574" s="1">
        <v>2020</v>
      </c>
      <c r="D574" s="4" t="s">
        <v>155</v>
      </c>
      <c r="E574" s="5"/>
      <c r="F574" s="5"/>
      <c r="G574" s="5"/>
      <c r="H574" s="5"/>
      <c r="I574">
        <v>1.1000000000000001</v>
      </c>
      <c r="J574" s="1">
        <v>0.5</v>
      </c>
      <c r="K574" s="1">
        <v>0.6</v>
      </c>
      <c r="L574" s="9">
        <v>0.18</v>
      </c>
      <c r="M574" s="9">
        <v>1.0900000000000001</v>
      </c>
      <c r="N574" s="9">
        <v>10.19</v>
      </c>
      <c r="O574" s="9">
        <f>LN(337.46)</f>
        <v>5.8214469847701915</v>
      </c>
      <c r="P574" s="12">
        <v>-0.1</v>
      </c>
      <c r="Q574" s="9">
        <v>18.538008209185634</v>
      </c>
      <c r="R574" s="9">
        <v>0.5</v>
      </c>
      <c r="S574" s="9">
        <v>0.89268500604186296</v>
      </c>
    </row>
    <row r="575" spans="1:19" ht="15.6" x14ac:dyDescent="0.3">
      <c r="A575" s="13" t="s">
        <v>204</v>
      </c>
      <c r="B575" s="2" t="s">
        <v>124</v>
      </c>
      <c r="C575" s="1">
        <v>2021</v>
      </c>
      <c r="D575" s="4" t="s">
        <v>155</v>
      </c>
      <c r="E575" s="5">
        <v>76.400000000000006</v>
      </c>
      <c r="F575" s="5">
        <v>86</v>
      </c>
      <c r="G575" s="5">
        <v>73.5</v>
      </c>
      <c r="H575" s="5">
        <v>80</v>
      </c>
      <c r="I575">
        <v>1.8</v>
      </c>
      <c r="J575" s="1">
        <v>1</v>
      </c>
      <c r="K575" s="1">
        <v>0.8</v>
      </c>
      <c r="L575" s="9">
        <v>0.18</v>
      </c>
      <c r="M575" s="9">
        <v>1.24</v>
      </c>
      <c r="N575" s="9">
        <v>11.59</v>
      </c>
      <c r="O575" s="9">
        <f>LN(373.78)</f>
        <v>5.9236673890421567</v>
      </c>
      <c r="P575" s="12">
        <v>2.5</v>
      </c>
      <c r="Q575" s="9">
        <v>18.523320857669979</v>
      </c>
      <c r="R575" s="9">
        <v>0.6</v>
      </c>
      <c r="S575" s="9">
        <v>0.89318955352601193</v>
      </c>
    </row>
    <row r="576" spans="1:19" ht="15.6" x14ac:dyDescent="0.3">
      <c r="A576" s="13" t="s">
        <v>204</v>
      </c>
      <c r="B576" s="2" t="s">
        <v>124</v>
      </c>
      <c r="C576" s="1">
        <v>2022</v>
      </c>
      <c r="D576" s="4" t="s">
        <v>155</v>
      </c>
      <c r="E576" s="5">
        <v>77.900000000000006</v>
      </c>
      <c r="F576" s="5">
        <v>88.2</v>
      </c>
      <c r="G576" s="5">
        <v>71.7</v>
      </c>
      <c r="H576" s="5">
        <v>82.8</v>
      </c>
      <c r="I576">
        <v>2</v>
      </c>
      <c r="J576" s="1">
        <v>1</v>
      </c>
      <c r="K576" s="1">
        <v>1</v>
      </c>
      <c r="L576" s="9">
        <v>0.17</v>
      </c>
      <c r="M576" s="9">
        <v>1.25</v>
      </c>
      <c r="N576" s="9">
        <v>11.97</v>
      </c>
      <c r="O576" s="9">
        <f>LN(407.61)</f>
        <v>6.0103108349043417</v>
      </c>
      <c r="P576" s="12">
        <v>3.4</v>
      </c>
      <c r="Q576" s="9">
        <v>18.531997880665664</v>
      </c>
      <c r="R576" s="9">
        <v>0.6</v>
      </c>
      <c r="S576" s="9">
        <v>0.89554085440605902</v>
      </c>
    </row>
    <row r="577" spans="1:19" ht="15.6" x14ac:dyDescent="0.3">
      <c r="A577" s="13" t="s">
        <v>204</v>
      </c>
      <c r="B577" s="2" t="s">
        <v>124</v>
      </c>
      <c r="C577" s="1">
        <v>2023</v>
      </c>
      <c r="D577" s="4" t="s">
        <v>155</v>
      </c>
      <c r="E577" s="5">
        <v>76.400000000000006</v>
      </c>
      <c r="F577" s="5">
        <v>86</v>
      </c>
      <c r="G577" s="5">
        <v>73.5</v>
      </c>
      <c r="H577" s="5">
        <v>80</v>
      </c>
      <c r="I577">
        <v>2</v>
      </c>
      <c r="J577" s="1">
        <v>1</v>
      </c>
      <c r="K577" s="1">
        <v>1</v>
      </c>
      <c r="L577" s="9">
        <v>0.16</v>
      </c>
      <c r="M577" s="9">
        <v>1.3</v>
      </c>
      <c r="N577" s="9">
        <v>11.8</v>
      </c>
      <c r="O577" s="9">
        <f>LN(399.71)</f>
        <v>5.9907392841683871</v>
      </c>
      <c r="P577" s="12">
        <v>2.5</v>
      </c>
      <c r="Q577" s="9">
        <v>18.526886361411048</v>
      </c>
      <c r="R577" s="9">
        <v>0.6</v>
      </c>
      <c r="S577" s="9">
        <v>0.88958022239475432</v>
      </c>
    </row>
    <row r="578" spans="1:19" ht="15.6" x14ac:dyDescent="0.3">
      <c r="A578" s="13" t="s">
        <v>205</v>
      </c>
      <c r="B578" s="2" t="s">
        <v>125</v>
      </c>
      <c r="C578" s="1">
        <v>2016</v>
      </c>
      <c r="D578" s="4" t="s">
        <v>158</v>
      </c>
      <c r="E578" s="5"/>
      <c r="F578" s="5"/>
      <c r="G578" s="5"/>
      <c r="H578" s="5"/>
      <c r="I578">
        <v>0.4</v>
      </c>
      <c r="J578" s="1">
        <v>0</v>
      </c>
      <c r="K578" s="1">
        <v>0.4</v>
      </c>
      <c r="L578" s="9"/>
      <c r="M578" s="9">
        <v>6.16</v>
      </c>
      <c r="N578" s="9">
        <v>10.64</v>
      </c>
      <c r="O578" s="9">
        <f>LN(301.26)</f>
        <v>5.7079736792746694</v>
      </c>
      <c r="P578" s="12">
        <v>2.1</v>
      </c>
      <c r="Q578" s="9">
        <v>13.484759524007186</v>
      </c>
      <c r="R578" s="9">
        <v>0.2</v>
      </c>
      <c r="S578" s="9">
        <v>0.4208640504242856</v>
      </c>
    </row>
    <row r="579" spans="1:19" ht="15.6" x14ac:dyDescent="0.3">
      <c r="A579" s="13" t="s">
        <v>205</v>
      </c>
      <c r="B579" s="2" t="s">
        <v>125</v>
      </c>
      <c r="C579" s="1">
        <v>2017</v>
      </c>
      <c r="D579" s="4" t="s">
        <v>158</v>
      </c>
      <c r="E579" s="5"/>
      <c r="F579" s="5"/>
      <c r="G579" s="5"/>
      <c r="H579" s="5"/>
      <c r="I579">
        <v>0.9</v>
      </c>
      <c r="J579" s="1">
        <v>0.5</v>
      </c>
      <c r="K579" s="1">
        <v>0.4</v>
      </c>
      <c r="L579" s="9">
        <v>2.5</v>
      </c>
      <c r="M579" s="9">
        <v>5.89</v>
      </c>
      <c r="N579" s="9">
        <v>10.35</v>
      </c>
      <c r="O579" s="9">
        <f>LN(319.11)</f>
        <v>5.7655358709316831</v>
      </c>
      <c r="P579" s="9">
        <v>3.9</v>
      </c>
      <c r="Q579" s="9">
        <v>13.661367044778002</v>
      </c>
      <c r="R579" s="9">
        <v>0.2</v>
      </c>
      <c r="S579" s="9">
        <v>0.4310755772916961</v>
      </c>
    </row>
    <row r="580" spans="1:19" ht="15.6" x14ac:dyDescent="0.3">
      <c r="A580" s="13" t="s">
        <v>205</v>
      </c>
      <c r="B580" s="2" t="s">
        <v>125</v>
      </c>
      <c r="C580" s="1">
        <v>2018</v>
      </c>
      <c r="D580" s="4" t="s">
        <v>158</v>
      </c>
      <c r="E580" s="5"/>
      <c r="F580" s="5"/>
      <c r="G580" s="5"/>
      <c r="H580" s="5"/>
      <c r="I580">
        <v>1.1000000000000001</v>
      </c>
      <c r="J580" s="1">
        <v>0.5</v>
      </c>
      <c r="K580" s="1">
        <v>0.6</v>
      </c>
      <c r="L580" s="9">
        <v>3.03</v>
      </c>
      <c r="M580" s="9">
        <v>5.89</v>
      </c>
      <c r="N580" s="9">
        <v>10.76</v>
      </c>
      <c r="O580" s="9">
        <f>LN(358.79)</f>
        <v>5.8827372591162019</v>
      </c>
      <c r="P580" s="9">
        <v>0.9</v>
      </c>
      <c r="Q580" s="9">
        <v>13.713075758222651</v>
      </c>
      <c r="R580" s="9">
        <v>0.36363636363636365</v>
      </c>
      <c r="S580" s="9">
        <v>0.45316777397780061</v>
      </c>
    </row>
    <row r="581" spans="1:19" ht="15.6" x14ac:dyDescent="0.3">
      <c r="A581" s="13" t="s">
        <v>205</v>
      </c>
      <c r="B581" s="2" t="s">
        <v>125</v>
      </c>
      <c r="C581" s="1">
        <v>2019</v>
      </c>
      <c r="D581" s="4" t="s">
        <v>158</v>
      </c>
      <c r="E581" s="5"/>
      <c r="F581" s="5"/>
      <c r="G581" s="5"/>
      <c r="H581" s="5"/>
      <c r="I581">
        <v>1.1000000000000001</v>
      </c>
      <c r="J581" s="1">
        <v>0.5</v>
      </c>
      <c r="K581" s="1">
        <v>0.6</v>
      </c>
      <c r="L581" s="9">
        <v>2.95</v>
      </c>
      <c r="M581" s="9">
        <v>5.89</v>
      </c>
      <c r="N581" s="9">
        <v>11.45</v>
      </c>
      <c r="O581" s="9">
        <f>LN(365.18)</f>
        <v>5.9003903827085873</v>
      </c>
      <c r="P581" s="12">
        <v>0.7</v>
      </c>
      <c r="Q581" s="9">
        <v>13.759067182541061</v>
      </c>
      <c r="R581" s="9">
        <v>0.36363636363636365</v>
      </c>
      <c r="S581" s="9">
        <v>0.48577958354494666</v>
      </c>
    </row>
    <row r="582" spans="1:19" ht="15.6" x14ac:dyDescent="0.3">
      <c r="A582" s="13" t="s">
        <v>205</v>
      </c>
      <c r="B582" s="2" t="s">
        <v>125</v>
      </c>
      <c r="C582" s="1">
        <v>2020</v>
      </c>
      <c r="D582" s="4" t="s">
        <v>158</v>
      </c>
      <c r="E582" s="5"/>
      <c r="F582" s="5"/>
      <c r="G582" s="5"/>
      <c r="H582" s="5"/>
      <c r="I582">
        <v>1.3</v>
      </c>
      <c r="J582" s="1">
        <v>0.5</v>
      </c>
      <c r="K582" s="1">
        <v>0.8</v>
      </c>
      <c r="L582" s="9">
        <v>3.05</v>
      </c>
      <c r="M582" s="9">
        <v>6.45</v>
      </c>
      <c r="N582" s="9">
        <v>12.25</v>
      </c>
      <c r="O582" s="9">
        <f>LN(337.46)</f>
        <v>5.8214469847701915</v>
      </c>
      <c r="P582" s="12">
        <v>-0.1</v>
      </c>
      <c r="Q582" s="9">
        <v>13.966207279740015</v>
      </c>
      <c r="R582" s="9">
        <v>0.45454545454545453</v>
      </c>
      <c r="S582" s="9">
        <v>0.47357058566508753</v>
      </c>
    </row>
    <row r="583" spans="1:19" ht="15.6" x14ac:dyDescent="0.3">
      <c r="A583" s="13" t="s">
        <v>205</v>
      </c>
      <c r="B583" s="2" t="s">
        <v>125</v>
      </c>
      <c r="C583" s="1">
        <v>2021</v>
      </c>
      <c r="D583" s="4" t="s">
        <v>158</v>
      </c>
      <c r="E583" s="5">
        <v>43.7</v>
      </c>
      <c r="F583" s="5">
        <v>40.6</v>
      </c>
      <c r="G583" s="5">
        <v>50.4</v>
      </c>
      <c r="H583" s="5">
        <v>35.700000000000003</v>
      </c>
      <c r="I583">
        <v>1.3</v>
      </c>
      <c r="J583" s="1">
        <v>0.5</v>
      </c>
      <c r="K583" s="1">
        <v>0.8</v>
      </c>
      <c r="L583" s="9">
        <v>2.4700000000000002</v>
      </c>
      <c r="M583" s="9">
        <v>4.3899999999999997</v>
      </c>
      <c r="N583" s="9">
        <v>8.0299999999999994</v>
      </c>
      <c r="O583" s="9">
        <f>LN(373.78)</f>
        <v>5.9236673890421567</v>
      </c>
      <c r="P583" s="12">
        <v>2.5</v>
      </c>
      <c r="Q583" s="9">
        <v>13.980285740208432</v>
      </c>
      <c r="R583" s="9">
        <v>0.41666666666666669</v>
      </c>
      <c r="S583" s="9">
        <v>0.45402958796670084</v>
      </c>
    </row>
    <row r="584" spans="1:19" ht="15.6" x14ac:dyDescent="0.3">
      <c r="A584" s="13" t="s">
        <v>205</v>
      </c>
      <c r="B584" s="2" t="s">
        <v>125</v>
      </c>
      <c r="C584" s="1">
        <v>2022</v>
      </c>
      <c r="D584" s="4" t="s">
        <v>158</v>
      </c>
      <c r="E584" s="5">
        <v>61.3</v>
      </c>
      <c r="F584" s="5">
        <v>51.4</v>
      </c>
      <c r="G584" s="5">
        <v>71.400000000000006</v>
      </c>
      <c r="H584" s="5">
        <v>54.8</v>
      </c>
      <c r="I584">
        <v>1.3</v>
      </c>
      <c r="J584" s="1">
        <v>0.5</v>
      </c>
      <c r="K584" s="1">
        <v>0.8</v>
      </c>
      <c r="L584" s="9">
        <v>2.68</v>
      </c>
      <c r="M584" s="9">
        <v>6.56</v>
      </c>
      <c r="N584" s="9">
        <v>12.01</v>
      </c>
      <c r="O584" s="9">
        <f>LN(407.61)</f>
        <v>6.0103108349043417</v>
      </c>
      <c r="P584" s="12">
        <v>3.4</v>
      </c>
      <c r="Q584" s="9">
        <v>13.996754033837771</v>
      </c>
      <c r="R584" s="9">
        <v>0.41666666666666669</v>
      </c>
      <c r="S584" s="9">
        <v>0.45364380119578845</v>
      </c>
    </row>
    <row r="585" spans="1:19" ht="15.6" x14ac:dyDescent="0.3">
      <c r="A585" s="13" t="s">
        <v>205</v>
      </c>
      <c r="B585" s="2" t="s">
        <v>125</v>
      </c>
      <c r="C585" s="1">
        <v>2023</v>
      </c>
      <c r="D585" s="4" t="s">
        <v>158</v>
      </c>
      <c r="E585" s="5">
        <v>43.7</v>
      </c>
      <c r="F585" s="5">
        <v>40.6</v>
      </c>
      <c r="G585" s="5">
        <v>50.4</v>
      </c>
      <c r="H585" s="5">
        <v>35.700000000000003</v>
      </c>
      <c r="I585">
        <v>1.3</v>
      </c>
      <c r="J585" s="1">
        <v>0.5</v>
      </c>
      <c r="K585" s="1">
        <v>0.8</v>
      </c>
      <c r="L585" s="9">
        <v>2.62</v>
      </c>
      <c r="M585" s="9">
        <v>8</v>
      </c>
      <c r="N585" s="9">
        <v>13.69</v>
      </c>
      <c r="O585" s="9">
        <f>LN(399.71)</f>
        <v>5.9907392841683871</v>
      </c>
      <c r="P585" s="12">
        <v>2.5</v>
      </c>
      <c r="Q585" s="9">
        <v>13.962427710226766</v>
      </c>
      <c r="R585" s="9">
        <v>0.41666666666666669</v>
      </c>
      <c r="S585" s="9">
        <v>0.4161179978899347</v>
      </c>
    </row>
    <row r="586" spans="1:19" ht="15.6" x14ac:dyDescent="0.3">
      <c r="A586" s="13" t="s">
        <v>206</v>
      </c>
      <c r="B586" s="2" t="s">
        <v>126</v>
      </c>
      <c r="C586" s="1">
        <v>2016</v>
      </c>
      <c r="D586" s="4" t="s">
        <v>155</v>
      </c>
      <c r="E586" s="5"/>
      <c r="F586" s="5"/>
      <c r="G586" s="5"/>
      <c r="H586" s="5"/>
      <c r="I586">
        <v>0</v>
      </c>
      <c r="J586" s="1">
        <v>0</v>
      </c>
      <c r="K586" s="1">
        <v>0</v>
      </c>
      <c r="L586" s="9">
        <v>0.37</v>
      </c>
      <c r="M586" s="9">
        <v>4.6399999999999997</v>
      </c>
      <c r="N586" s="9">
        <v>17.89</v>
      </c>
      <c r="O586" s="9">
        <f>LN(301.26)</f>
        <v>5.7079736792746694</v>
      </c>
      <c r="P586" s="12">
        <v>2.1</v>
      </c>
      <c r="Q586" s="9">
        <v>12.859769286528772</v>
      </c>
      <c r="R586" s="9">
        <v>0.5</v>
      </c>
      <c r="S586" s="9">
        <v>0.74069701217339745</v>
      </c>
    </row>
    <row r="587" spans="1:19" ht="15.6" x14ac:dyDescent="0.3">
      <c r="A587" s="13" t="s">
        <v>206</v>
      </c>
      <c r="B587" s="2" t="s">
        <v>126</v>
      </c>
      <c r="C587" s="1">
        <v>2017</v>
      </c>
      <c r="D587" s="4" t="s">
        <v>155</v>
      </c>
      <c r="E587" s="5"/>
      <c r="F587" s="5"/>
      <c r="G587" s="5"/>
      <c r="H587" s="5"/>
      <c r="I587">
        <v>1.4</v>
      </c>
      <c r="J587" s="1">
        <v>1</v>
      </c>
      <c r="K587" s="1">
        <v>0.4</v>
      </c>
      <c r="L587" s="9">
        <v>0.24</v>
      </c>
      <c r="M587" s="9">
        <v>4.7699999999999996</v>
      </c>
      <c r="N587" s="9">
        <v>17.079999999999998</v>
      </c>
      <c r="O587" s="9">
        <f>LN(319.11)</f>
        <v>5.7655358709316831</v>
      </c>
      <c r="P587" s="9">
        <v>3.9</v>
      </c>
      <c r="Q587" s="9">
        <v>13.084250210694991</v>
      </c>
      <c r="R587" s="9">
        <v>0.5</v>
      </c>
      <c r="S587" s="9">
        <v>0.72063901666729002</v>
      </c>
    </row>
    <row r="588" spans="1:19" ht="15.6" x14ac:dyDescent="0.3">
      <c r="A588" s="13" t="s">
        <v>206</v>
      </c>
      <c r="B588" s="2" t="s">
        <v>126</v>
      </c>
      <c r="C588" s="1">
        <v>2018</v>
      </c>
      <c r="D588" s="4" t="s">
        <v>155</v>
      </c>
      <c r="E588" s="5"/>
      <c r="F588" s="5"/>
      <c r="G588" s="5"/>
      <c r="H588" s="5"/>
      <c r="I588">
        <v>1.6</v>
      </c>
      <c r="J588" s="1">
        <v>1</v>
      </c>
      <c r="K588" s="1">
        <v>0.6</v>
      </c>
      <c r="L588" s="9">
        <v>0.26</v>
      </c>
      <c r="M588" s="9">
        <v>4.29</v>
      </c>
      <c r="N588" s="9">
        <v>16.37</v>
      </c>
      <c r="O588" s="9">
        <f>LN(358.79)</f>
        <v>5.8827372591162019</v>
      </c>
      <c r="P588" s="9">
        <v>0.9</v>
      </c>
      <c r="Q588" s="9">
        <v>13.209439752281551</v>
      </c>
      <c r="R588" s="9">
        <v>0.5</v>
      </c>
      <c r="S588" s="9">
        <v>0.73787970448587503</v>
      </c>
    </row>
    <row r="589" spans="1:19" ht="15.6" x14ac:dyDescent="0.3">
      <c r="A589" s="13" t="s">
        <v>206</v>
      </c>
      <c r="B589" s="2" t="s">
        <v>126</v>
      </c>
      <c r="C589" s="1">
        <v>2019</v>
      </c>
      <c r="D589" s="4" t="s">
        <v>155</v>
      </c>
      <c r="E589" s="5"/>
      <c r="F589" s="5"/>
      <c r="G589" s="5"/>
      <c r="H589" s="5"/>
      <c r="I589">
        <v>1.8</v>
      </c>
      <c r="J589" s="1">
        <v>1</v>
      </c>
      <c r="K589" s="1">
        <v>0.8</v>
      </c>
      <c r="L589" s="9">
        <v>0.23</v>
      </c>
      <c r="M589" s="9">
        <v>4.55</v>
      </c>
      <c r="N589" s="9">
        <v>16.420000000000002</v>
      </c>
      <c r="O589" s="9">
        <f>LN(365.18)</f>
        <v>5.9003903827085873</v>
      </c>
      <c r="P589" s="12">
        <v>0.7</v>
      </c>
      <c r="Q589" s="9">
        <v>13.244630566422769</v>
      </c>
      <c r="R589" s="9">
        <v>0.55600000000000005</v>
      </c>
      <c r="S589" s="9">
        <v>0.7230119569295681</v>
      </c>
    </row>
    <row r="590" spans="1:19" ht="15.6" x14ac:dyDescent="0.3">
      <c r="A590" s="13" t="s">
        <v>206</v>
      </c>
      <c r="B590" s="2" t="s">
        <v>126</v>
      </c>
      <c r="C590" s="1">
        <v>2020</v>
      </c>
      <c r="D590" s="4" t="s">
        <v>155</v>
      </c>
      <c r="E590" s="5"/>
      <c r="F590" s="5"/>
      <c r="G590" s="5"/>
      <c r="H590" s="5"/>
      <c r="I590">
        <v>1.8</v>
      </c>
      <c r="J590" s="1">
        <v>1</v>
      </c>
      <c r="K590" s="1">
        <v>0.8</v>
      </c>
      <c r="L590" s="9">
        <v>0.4</v>
      </c>
      <c r="M590" s="9">
        <v>5</v>
      </c>
      <c r="N590" s="9">
        <v>16.100000000000001</v>
      </c>
      <c r="O590" s="9">
        <f>LN(337.46)</f>
        <v>5.8214469847701915</v>
      </c>
      <c r="P590" s="12">
        <v>-0.1</v>
      </c>
      <c r="Q590" s="9">
        <v>13.30280149497297</v>
      </c>
      <c r="R590" s="9">
        <v>0.55600000000000005</v>
      </c>
      <c r="S590" s="9">
        <v>0.68923190470067841</v>
      </c>
    </row>
    <row r="591" spans="1:19" ht="15.6" x14ac:dyDescent="0.3">
      <c r="A591" s="13" t="s">
        <v>206</v>
      </c>
      <c r="B591" s="2" t="s">
        <v>126</v>
      </c>
      <c r="C591" s="1">
        <v>2021</v>
      </c>
      <c r="D591" s="4" t="s">
        <v>155</v>
      </c>
      <c r="E591" s="5">
        <v>43.6</v>
      </c>
      <c r="F591" s="5">
        <v>33.200000000000003</v>
      </c>
      <c r="G591" s="5">
        <v>42.9</v>
      </c>
      <c r="H591" s="5">
        <v>55.8</v>
      </c>
      <c r="I591">
        <v>1.8</v>
      </c>
      <c r="J591" s="1">
        <v>1</v>
      </c>
      <c r="K591" s="1">
        <v>0.8</v>
      </c>
      <c r="L591" s="9">
        <v>0.5</v>
      </c>
      <c r="M591" s="9">
        <v>4.8899999999999997</v>
      </c>
      <c r="N591" s="9">
        <v>15.27</v>
      </c>
      <c r="O591" s="9">
        <f>LN(373.78)</f>
        <v>5.9236673890421567</v>
      </c>
      <c r="P591" s="12">
        <v>2.5</v>
      </c>
      <c r="Q591" s="9">
        <v>13.382044044242619</v>
      </c>
      <c r="R591" s="9">
        <v>0.55600000000000005</v>
      </c>
      <c r="S591" s="9">
        <v>0.68000857683206373</v>
      </c>
    </row>
    <row r="592" spans="1:19" ht="15.6" x14ac:dyDescent="0.3">
      <c r="A592" s="13" t="s">
        <v>206</v>
      </c>
      <c r="B592" s="2" t="s">
        <v>126</v>
      </c>
      <c r="C592" s="1">
        <v>2022</v>
      </c>
      <c r="D592" s="4" t="s">
        <v>155</v>
      </c>
      <c r="E592" s="5">
        <v>43.4</v>
      </c>
      <c r="F592" s="5">
        <v>32.6</v>
      </c>
      <c r="G592" s="5">
        <v>45.9</v>
      </c>
      <c r="H592" s="5">
        <v>50.7</v>
      </c>
      <c r="I592">
        <v>1.8</v>
      </c>
      <c r="J592" s="1">
        <v>1</v>
      </c>
      <c r="K592" s="1">
        <v>0.8</v>
      </c>
      <c r="L592" s="9">
        <v>0.46</v>
      </c>
      <c r="M592" s="9">
        <v>4.71</v>
      </c>
      <c r="N592" s="9">
        <v>17.23</v>
      </c>
      <c r="O592" s="9">
        <f>LN(407.61)</f>
        <v>6.0103108349043417</v>
      </c>
      <c r="P592" s="12">
        <v>3.4</v>
      </c>
      <c r="Q592" s="9">
        <v>13.412592702850803</v>
      </c>
      <c r="R592" s="9">
        <v>0.55600000000000005</v>
      </c>
      <c r="S592" s="9">
        <v>0.72660230083172872</v>
      </c>
    </row>
    <row r="593" spans="1:19" ht="15.6" x14ac:dyDescent="0.3">
      <c r="A593" s="13" t="s">
        <v>206</v>
      </c>
      <c r="B593" s="2" t="s">
        <v>126</v>
      </c>
      <c r="C593" s="1">
        <v>2023</v>
      </c>
      <c r="D593" s="4" t="s">
        <v>155</v>
      </c>
      <c r="E593" s="5">
        <v>43.6</v>
      </c>
      <c r="F593" s="5">
        <v>33.200000000000003</v>
      </c>
      <c r="G593" s="5">
        <v>42.9</v>
      </c>
      <c r="H593" s="5">
        <v>55.8</v>
      </c>
      <c r="I593">
        <v>1.8</v>
      </c>
      <c r="J593" s="1">
        <v>1</v>
      </c>
      <c r="K593" s="1">
        <v>0.8</v>
      </c>
      <c r="L593" s="9">
        <v>0.66</v>
      </c>
      <c r="M593" s="9">
        <v>4.63</v>
      </c>
      <c r="N593" s="9">
        <v>16.72</v>
      </c>
      <c r="O593" s="9">
        <f>LN(399.71)</f>
        <v>5.9907392841683871</v>
      </c>
      <c r="P593" s="12">
        <v>2.5</v>
      </c>
      <c r="Q593" s="9">
        <v>13.359053162792888</v>
      </c>
      <c r="R593" s="9">
        <v>0.6</v>
      </c>
      <c r="S593" s="9">
        <v>0.72300496903037614</v>
      </c>
    </row>
    <row r="594" spans="1:19" ht="15.6" x14ac:dyDescent="0.3">
      <c r="A594" s="13" t="s">
        <v>207</v>
      </c>
      <c r="B594" s="2" t="s">
        <v>127</v>
      </c>
      <c r="C594" s="1">
        <v>2016</v>
      </c>
      <c r="D594" s="4" t="s">
        <v>155</v>
      </c>
      <c r="E594" s="5">
        <v>14.3</v>
      </c>
      <c r="F594" s="5">
        <v>1.2</v>
      </c>
      <c r="G594" s="5">
        <v>13.3</v>
      </c>
      <c r="H594" s="5">
        <v>34.6</v>
      </c>
      <c r="I594">
        <v>1.4</v>
      </c>
      <c r="J594" s="1">
        <v>1</v>
      </c>
      <c r="K594" s="1">
        <v>0.4</v>
      </c>
      <c r="L594" s="9">
        <v>0.08</v>
      </c>
      <c r="M594" s="9"/>
      <c r="N594" s="9">
        <v>7.75</v>
      </c>
      <c r="O594" s="9">
        <f>LN(301.26)</f>
        <v>5.7079736792746694</v>
      </c>
      <c r="P594" s="12">
        <v>2.1</v>
      </c>
      <c r="Q594" s="9">
        <v>17.781253195839646</v>
      </c>
      <c r="R594" s="9">
        <v>0.5</v>
      </c>
      <c r="S594" s="9">
        <v>0.90800246613705271</v>
      </c>
    </row>
    <row r="595" spans="1:19" ht="15.6" x14ac:dyDescent="0.3">
      <c r="A595" s="13" t="s">
        <v>207</v>
      </c>
      <c r="B595" s="2" t="s">
        <v>127</v>
      </c>
      <c r="C595" s="1">
        <v>2017</v>
      </c>
      <c r="D595" s="4" t="s">
        <v>155</v>
      </c>
      <c r="E595" s="5">
        <v>55.8</v>
      </c>
      <c r="F595" s="5">
        <v>56.8</v>
      </c>
      <c r="G595" s="5">
        <v>49</v>
      </c>
      <c r="H595" s="5">
        <v>67.2</v>
      </c>
      <c r="I595">
        <v>1.8</v>
      </c>
      <c r="J595" s="1">
        <v>1</v>
      </c>
      <c r="K595" s="1">
        <v>0.8</v>
      </c>
      <c r="L595" s="9">
        <v>0.09</v>
      </c>
      <c r="M595" s="9">
        <v>0.85</v>
      </c>
      <c r="N595" s="9">
        <v>8.44</v>
      </c>
      <c r="O595" s="9">
        <f>LN(319.11)</f>
        <v>5.7655358709316831</v>
      </c>
      <c r="P595" s="9">
        <v>3.9</v>
      </c>
      <c r="Q595" s="9">
        <v>17.852826692015569</v>
      </c>
      <c r="R595" s="9">
        <v>0.6</v>
      </c>
      <c r="S595" s="9">
        <v>0.8992900505245498</v>
      </c>
    </row>
    <row r="596" spans="1:19" ht="15.6" x14ac:dyDescent="0.3">
      <c r="A596" s="13" t="s">
        <v>207</v>
      </c>
      <c r="B596" s="2" t="s">
        <v>127</v>
      </c>
      <c r="C596" s="1">
        <v>2018</v>
      </c>
      <c r="D596" s="4" t="s">
        <v>155</v>
      </c>
      <c r="E596" s="5">
        <v>55.8</v>
      </c>
      <c r="F596" s="5">
        <v>64.3</v>
      </c>
      <c r="G596" s="5">
        <v>54.5</v>
      </c>
      <c r="H596" s="5">
        <v>48.1</v>
      </c>
      <c r="I596">
        <v>1.8</v>
      </c>
      <c r="J596" s="1">
        <v>1</v>
      </c>
      <c r="K596" s="1">
        <v>0.8</v>
      </c>
      <c r="L596" s="9">
        <v>0.09</v>
      </c>
      <c r="M596" s="9">
        <v>0.95</v>
      </c>
      <c r="N596" s="9">
        <v>9.8699999999999992</v>
      </c>
      <c r="O596" s="9">
        <f>LN(358.79)</f>
        <v>5.8827372591162019</v>
      </c>
      <c r="P596" s="9">
        <v>0.9</v>
      </c>
      <c r="Q596" s="9">
        <v>17.888920189076121</v>
      </c>
      <c r="R596" s="9">
        <v>0.54545454545454541</v>
      </c>
      <c r="S596" s="9">
        <v>0.9037859701423292</v>
      </c>
    </row>
    <row r="597" spans="1:19" ht="15.6" x14ac:dyDescent="0.3">
      <c r="A597" s="13" t="s">
        <v>207</v>
      </c>
      <c r="B597" s="2" t="s">
        <v>127</v>
      </c>
      <c r="C597" s="1">
        <v>2019</v>
      </c>
      <c r="D597" s="4" t="s">
        <v>155</v>
      </c>
      <c r="E597" s="5">
        <v>62.8</v>
      </c>
      <c r="F597" s="5">
        <v>69.3</v>
      </c>
      <c r="G597" s="5">
        <v>61.4</v>
      </c>
      <c r="H597" s="5">
        <v>57.6</v>
      </c>
      <c r="I597">
        <v>1.6</v>
      </c>
      <c r="J597" s="1">
        <v>1</v>
      </c>
      <c r="K597" s="1">
        <v>0.6</v>
      </c>
      <c r="L597" s="9">
        <v>0.09</v>
      </c>
      <c r="M597" s="9">
        <v>0.97</v>
      </c>
      <c r="N597" s="9">
        <v>9.64</v>
      </c>
      <c r="O597" s="9">
        <f>LN(365.18)</f>
        <v>5.9003903827085873</v>
      </c>
      <c r="P597" s="12">
        <v>0.7</v>
      </c>
      <c r="Q597" s="9">
        <v>17.957733392518321</v>
      </c>
      <c r="R597" s="9">
        <v>0.63636363636363635</v>
      </c>
      <c r="S597" s="9">
        <v>0.89979984454719741</v>
      </c>
    </row>
    <row r="598" spans="1:19" ht="15.6" x14ac:dyDescent="0.3">
      <c r="A598" s="13" t="s">
        <v>207</v>
      </c>
      <c r="B598" s="2" t="s">
        <v>127</v>
      </c>
      <c r="C598" s="1">
        <v>2020</v>
      </c>
      <c r="D598" s="4" t="s">
        <v>155</v>
      </c>
      <c r="E598" s="5">
        <v>59.8</v>
      </c>
      <c r="F598" s="5">
        <v>56.7</v>
      </c>
      <c r="G598" s="5">
        <v>59.6</v>
      </c>
      <c r="H598" s="5">
        <v>63.8</v>
      </c>
      <c r="I598">
        <v>2</v>
      </c>
      <c r="J598" s="1">
        <v>1</v>
      </c>
      <c r="K598" s="1">
        <v>1</v>
      </c>
      <c r="L598" s="9">
        <v>0.08</v>
      </c>
      <c r="M598" s="9">
        <v>0.75</v>
      </c>
      <c r="N598" s="9">
        <v>7.54</v>
      </c>
      <c r="O598" s="9">
        <f>LN(337.46)</f>
        <v>5.8214469847701915</v>
      </c>
      <c r="P598" s="12">
        <v>-0.1</v>
      </c>
      <c r="Q598" s="9">
        <v>18.028643502164599</v>
      </c>
      <c r="R598" s="9">
        <v>0.61538461538461542</v>
      </c>
      <c r="S598" s="9">
        <v>0.90021549435571435</v>
      </c>
    </row>
    <row r="599" spans="1:19" ht="15.6" x14ac:dyDescent="0.3">
      <c r="A599" s="13" t="s">
        <v>207</v>
      </c>
      <c r="B599" s="2" t="s">
        <v>127</v>
      </c>
      <c r="C599" s="1">
        <v>2021</v>
      </c>
      <c r="D599" s="4" t="s">
        <v>155</v>
      </c>
      <c r="E599" s="5">
        <v>68.900000000000006</v>
      </c>
      <c r="F599" s="5">
        <v>85.9</v>
      </c>
      <c r="G599" s="5">
        <v>69.099999999999994</v>
      </c>
      <c r="H599" s="5">
        <v>61.3</v>
      </c>
      <c r="I599">
        <v>1.8</v>
      </c>
      <c r="J599" s="1">
        <v>1</v>
      </c>
      <c r="K599" s="1">
        <v>0.8</v>
      </c>
      <c r="L599" s="9">
        <v>0.08</v>
      </c>
      <c r="M599" s="9">
        <v>0.91</v>
      </c>
      <c r="N599" s="9">
        <v>9.36</v>
      </c>
      <c r="O599" s="9">
        <f>LN(373.78)</f>
        <v>5.9236673890421567</v>
      </c>
      <c r="P599" s="12">
        <v>2.5</v>
      </c>
      <c r="Q599" s="9">
        <v>18.054455180550939</v>
      </c>
      <c r="R599" s="9">
        <v>0.61538461538461542</v>
      </c>
      <c r="S599" s="9">
        <v>0.90318999136924905</v>
      </c>
    </row>
    <row r="600" spans="1:19" ht="15.6" x14ac:dyDescent="0.3">
      <c r="A600" s="13" t="s">
        <v>207</v>
      </c>
      <c r="B600" s="2" t="s">
        <v>127</v>
      </c>
      <c r="C600" s="1">
        <v>2022</v>
      </c>
      <c r="D600" s="4" t="s">
        <v>155</v>
      </c>
      <c r="E600" s="5">
        <v>63.8</v>
      </c>
      <c r="F600" s="5">
        <v>82.2</v>
      </c>
      <c r="G600" s="5">
        <v>67.8</v>
      </c>
      <c r="H600" s="5">
        <v>50.6</v>
      </c>
      <c r="I600">
        <v>2</v>
      </c>
      <c r="J600" s="1">
        <v>1</v>
      </c>
      <c r="K600" s="1">
        <v>1</v>
      </c>
      <c r="L600" s="9">
        <v>0.08</v>
      </c>
      <c r="M600" s="9">
        <v>0.86</v>
      </c>
      <c r="N600" s="9">
        <v>9.32</v>
      </c>
      <c r="O600" s="9">
        <f>LN(407.61)</f>
        <v>6.0103108349043417</v>
      </c>
      <c r="P600" s="12">
        <v>3.4</v>
      </c>
      <c r="Q600" s="9">
        <v>18.069951262103135</v>
      </c>
      <c r="R600" s="9">
        <v>0.61538461538461542</v>
      </c>
      <c r="S600" s="9">
        <v>0.9074358615400604</v>
      </c>
    </row>
    <row r="601" spans="1:19" ht="15.6" x14ac:dyDescent="0.3">
      <c r="A601" s="13" t="s">
        <v>207</v>
      </c>
      <c r="B601" s="2" t="s">
        <v>127</v>
      </c>
      <c r="C601" s="1">
        <v>2023</v>
      </c>
      <c r="D601" s="4" t="s">
        <v>155</v>
      </c>
      <c r="E601" s="5">
        <v>68.900000000000006</v>
      </c>
      <c r="F601" s="5">
        <v>85.9</v>
      </c>
      <c r="G601" s="5">
        <v>69.099999999999994</v>
      </c>
      <c r="H601" s="5">
        <v>61.3</v>
      </c>
      <c r="I601">
        <v>2</v>
      </c>
      <c r="J601" s="1">
        <v>1</v>
      </c>
      <c r="K601" s="1">
        <v>1</v>
      </c>
      <c r="L601" s="9">
        <v>7.0000000000000007E-2</v>
      </c>
      <c r="M601" s="9">
        <v>0.86</v>
      </c>
      <c r="N601" s="9">
        <v>9.09</v>
      </c>
      <c r="O601" s="9">
        <f>LN(399.71)</f>
        <v>5.9907392841683871</v>
      </c>
      <c r="P601" s="12">
        <v>2.5</v>
      </c>
      <c r="Q601" s="9">
        <v>18.086425266503998</v>
      </c>
      <c r="R601" s="9">
        <v>0.6428571428571429</v>
      </c>
      <c r="S601" s="9">
        <v>0.90595738306826201</v>
      </c>
    </row>
    <row r="602" spans="1:19" ht="15.6" x14ac:dyDescent="0.3">
      <c r="A602" s="13" t="s">
        <v>208</v>
      </c>
      <c r="B602" s="2" t="s">
        <v>128</v>
      </c>
      <c r="C602" s="1">
        <v>2016</v>
      </c>
      <c r="D602" s="4" t="s">
        <v>165</v>
      </c>
      <c r="E602" s="5"/>
      <c r="F602" s="5"/>
      <c r="G602" s="5"/>
      <c r="H602" s="5"/>
      <c r="I602">
        <v>0</v>
      </c>
      <c r="J602" s="1">
        <v>0</v>
      </c>
      <c r="K602" s="1">
        <v>0</v>
      </c>
      <c r="L602" s="9">
        <v>0.48</v>
      </c>
      <c r="M602" s="9">
        <v>3.05</v>
      </c>
      <c r="N602" s="9">
        <v>6.7</v>
      </c>
      <c r="O602" s="9">
        <f>LN(301.26)</f>
        <v>5.7079736792746694</v>
      </c>
      <c r="P602" s="12">
        <v>2.1</v>
      </c>
      <c r="Q602" s="9">
        <v>13.78087873970885</v>
      </c>
      <c r="R602" s="9">
        <v>0.375</v>
      </c>
      <c r="S602" s="9">
        <v>0.54477147628113354</v>
      </c>
    </row>
    <row r="603" spans="1:19" ht="15.6" x14ac:dyDescent="0.3">
      <c r="A603" s="13" t="s">
        <v>208</v>
      </c>
      <c r="B603" s="2" t="s">
        <v>128</v>
      </c>
      <c r="C603" s="1">
        <v>2017</v>
      </c>
      <c r="D603" s="4" t="s">
        <v>165</v>
      </c>
      <c r="E603" s="5"/>
      <c r="F603" s="5"/>
      <c r="G603" s="5"/>
      <c r="H603" s="5"/>
      <c r="I603">
        <v>0</v>
      </c>
      <c r="J603" s="1">
        <v>0</v>
      </c>
      <c r="K603" s="1">
        <v>0</v>
      </c>
      <c r="L603" s="9">
        <v>0.52</v>
      </c>
      <c r="M603" s="9">
        <v>5.43</v>
      </c>
      <c r="N603" s="9">
        <v>10.52</v>
      </c>
      <c r="O603" s="9">
        <f>LN(319.11)</f>
        <v>5.7655358709316831</v>
      </c>
      <c r="P603" s="9">
        <v>3.9</v>
      </c>
      <c r="Q603" s="9">
        <v>13.870040409046979</v>
      </c>
      <c r="R603" s="9">
        <v>0.33300000000000002</v>
      </c>
      <c r="S603" s="9">
        <v>0.48391354905666811</v>
      </c>
    </row>
    <row r="604" spans="1:19" ht="15.6" x14ac:dyDescent="0.3">
      <c r="A604" s="13" t="s">
        <v>208</v>
      </c>
      <c r="B604" s="2" t="s">
        <v>128</v>
      </c>
      <c r="C604" s="1">
        <v>2018</v>
      </c>
      <c r="D604" s="4" t="s">
        <v>165</v>
      </c>
      <c r="E604" s="5"/>
      <c r="F604" s="5"/>
      <c r="G604" s="5"/>
      <c r="H604" s="5"/>
      <c r="I604">
        <v>0.4</v>
      </c>
      <c r="J604" s="1">
        <v>0</v>
      </c>
      <c r="K604" s="1">
        <v>0.4</v>
      </c>
      <c r="L604" s="9">
        <v>0.28999999999999998</v>
      </c>
      <c r="M604" s="9">
        <v>1.52</v>
      </c>
      <c r="N604" s="9">
        <v>2.78</v>
      </c>
      <c r="O604" s="9">
        <f>LN(358.79)</f>
        <v>5.8827372591162019</v>
      </c>
      <c r="P604" s="9">
        <v>0.9</v>
      </c>
      <c r="Q604" s="9">
        <v>13.812488997645142</v>
      </c>
      <c r="R604" s="9">
        <v>0.33300000000000002</v>
      </c>
      <c r="S604" s="9">
        <v>0.45447816061056207</v>
      </c>
    </row>
    <row r="605" spans="1:19" ht="15.6" x14ac:dyDescent="0.3">
      <c r="A605" s="13" t="s">
        <v>208</v>
      </c>
      <c r="B605" s="2" t="s">
        <v>128</v>
      </c>
      <c r="C605" s="1">
        <v>2019</v>
      </c>
      <c r="D605" s="4" t="s">
        <v>165</v>
      </c>
      <c r="E605" s="5"/>
      <c r="F605" s="5"/>
      <c r="G605" s="5"/>
      <c r="H605" s="5"/>
      <c r="I605">
        <v>0.4</v>
      </c>
      <c r="J605" s="1">
        <v>0</v>
      </c>
      <c r="K605" s="1">
        <v>0.4</v>
      </c>
      <c r="L605" s="9">
        <v>0.56000000000000005</v>
      </c>
      <c r="M605" s="9">
        <v>2.14</v>
      </c>
      <c r="N605" s="9">
        <v>3.86</v>
      </c>
      <c r="O605" s="9">
        <f>LN(365.18)</f>
        <v>5.9003903827085873</v>
      </c>
      <c r="P605" s="12">
        <v>0.7</v>
      </c>
      <c r="Q605" s="9">
        <v>13.837221167825101</v>
      </c>
      <c r="R605" s="9">
        <v>0.44400000000000001</v>
      </c>
      <c r="S605" s="9">
        <v>0.446454222719747</v>
      </c>
    </row>
    <row r="606" spans="1:19" ht="15.6" x14ac:dyDescent="0.3">
      <c r="A606" s="13" t="s">
        <v>208</v>
      </c>
      <c r="B606" s="2" t="s">
        <v>128</v>
      </c>
      <c r="C606" s="1">
        <v>2020</v>
      </c>
      <c r="D606" s="4" t="s">
        <v>165</v>
      </c>
      <c r="E606" s="5"/>
      <c r="F606" s="5"/>
      <c r="G606" s="5"/>
      <c r="H606" s="5"/>
      <c r="I606">
        <v>0.4</v>
      </c>
      <c r="J606" s="1">
        <v>0</v>
      </c>
      <c r="K606" s="1">
        <v>0.4</v>
      </c>
      <c r="L606" s="9">
        <v>0.54</v>
      </c>
      <c r="M606" s="9">
        <v>4.79</v>
      </c>
      <c r="N606" s="9">
        <v>8.16</v>
      </c>
      <c r="O606" s="9">
        <f>LN(337.46)</f>
        <v>5.8214469847701915</v>
      </c>
      <c r="P606" s="12">
        <v>-0.1</v>
      </c>
      <c r="Q606" s="9">
        <v>13.874791218245324</v>
      </c>
      <c r="R606" s="9">
        <v>0.44400000000000001</v>
      </c>
      <c r="S606" s="9">
        <v>0.41220255345296697</v>
      </c>
    </row>
    <row r="607" spans="1:19" ht="15.6" x14ac:dyDescent="0.3">
      <c r="A607" s="13" t="s">
        <v>208</v>
      </c>
      <c r="B607" s="2" t="s">
        <v>128</v>
      </c>
      <c r="C607" s="1">
        <v>2021</v>
      </c>
      <c r="D607" s="4" t="s">
        <v>165</v>
      </c>
      <c r="E607" s="5">
        <v>80.2</v>
      </c>
      <c r="F607" s="5">
        <v>59.7</v>
      </c>
      <c r="G607" s="5">
        <v>86.9</v>
      </c>
      <c r="H607" s="5">
        <v>92.6</v>
      </c>
      <c r="I607">
        <v>0.6</v>
      </c>
      <c r="J607" s="1">
        <v>0</v>
      </c>
      <c r="K607" s="1">
        <v>0.6</v>
      </c>
      <c r="L607" s="9">
        <v>0.43</v>
      </c>
      <c r="M607" s="9">
        <v>10.95</v>
      </c>
      <c r="N607" s="9">
        <v>17.350000000000001</v>
      </c>
      <c r="O607" s="9">
        <f>LN(373.78)</f>
        <v>5.9236673890421567</v>
      </c>
      <c r="P607" s="12">
        <v>2.5</v>
      </c>
      <c r="Q607" s="9">
        <v>13.924496792751439</v>
      </c>
      <c r="R607" s="9">
        <v>0.44400000000000001</v>
      </c>
      <c r="S607" s="9">
        <v>0.36894866775411672</v>
      </c>
    </row>
    <row r="608" spans="1:19" ht="15.6" x14ac:dyDescent="0.3">
      <c r="A608" s="13" t="s">
        <v>208</v>
      </c>
      <c r="B608" s="2" t="s">
        <v>128</v>
      </c>
      <c r="C608" s="1">
        <v>2022</v>
      </c>
      <c r="D608" s="4" t="s">
        <v>165</v>
      </c>
      <c r="E608" s="5">
        <v>75.900000000000006</v>
      </c>
      <c r="F608" s="5">
        <v>60.4</v>
      </c>
      <c r="G608" s="5">
        <v>81.7</v>
      </c>
      <c r="H608" s="5">
        <v>84.5</v>
      </c>
      <c r="I608">
        <v>1</v>
      </c>
      <c r="J608" s="1">
        <v>0</v>
      </c>
      <c r="K608" s="1">
        <v>1</v>
      </c>
      <c r="L608" s="9">
        <v>0.47</v>
      </c>
      <c r="M608" s="9">
        <v>9.8000000000000007</v>
      </c>
      <c r="N608" s="9">
        <v>13.91</v>
      </c>
      <c r="O608" s="9">
        <f>LN(407.61)</f>
        <v>6.0103108349043417</v>
      </c>
      <c r="P608" s="12">
        <v>3.4</v>
      </c>
      <c r="Q608" s="9">
        <v>13.918961150880277</v>
      </c>
      <c r="R608" s="9">
        <v>0.55600000000000005</v>
      </c>
      <c r="S608" s="9">
        <v>0.29560023480803721</v>
      </c>
    </row>
    <row r="609" spans="1:19" ht="15.6" x14ac:dyDescent="0.3">
      <c r="A609" s="13" t="s">
        <v>208</v>
      </c>
      <c r="B609" s="2" t="s">
        <v>128</v>
      </c>
      <c r="C609" s="1">
        <v>2023</v>
      </c>
      <c r="D609" s="4" t="s">
        <v>165</v>
      </c>
      <c r="E609" s="5">
        <v>80.2</v>
      </c>
      <c r="F609" s="5">
        <v>59.7</v>
      </c>
      <c r="G609" s="5">
        <v>86.9</v>
      </c>
      <c r="H609" s="5">
        <v>92.6</v>
      </c>
      <c r="I609">
        <v>1</v>
      </c>
      <c r="J609" s="1">
        <v>0</v>
      </c>
      <c r="K609" s="1">
        <v>1</v>
      </c>
      <c r="L609" s="9">
        <v>0.44</v>
      </c>
      <c r="M609" s="9">
        <v>5.77</v>
      </c>
      <c r="N609" s="9">
        <v>8.19</v>
      </c>
      <c r="O609" s="9">
        <f>LN(399.71)</f>
        <v>5.9907392841683871</v>
      </c>
      <c r="P609" s="12">
        <v>2.5</v>
      </c>
      <c r="Q609" s="9">
        <v>13.94250525788744</v>
      </c>
      <c r="R609" s="9">
        <v>0.55600000000000005</v>
      </c>
      <c r="S609" s="9">
        <v>0.29560220924405345</v>
      </c>
    </row>
    <row r="610" spans="1:19" ht="15.6" x14ac:dyDescent="0.3">
      <c r="A610" s="13" t="s">
        <v>209</v>
      </c>
      <c r="B610" s="2" t="s">
        <v>129</v>
      </c>
      <c r="C610" s="1">
        <v>2016</v>
      </c>
      <c r="D610" s="4" t="s">
        <v>160</v>
      </c>
      <c r="E610" s="5"/>
      <c r="F610" s="5"/>
      <c r="G610" s="5"/>
      <c r="H610" s="5"/>
      <c r="I610">
        <v>0</v>
      </c>
      <c r="J610" s="1">
        <v>0</v>
      </c>
      <c r="K610" s="1">
        <v>0</v>
      </c>
      <c r="L610" s="9">
        <v>1.3</v>
      </c>
      <c r="M610" s="9">
        <v>10.7</v>
      </c>
      <c r="N610" s="9">
        <v>19.399999999999999</v>
      </c>
      <c r="O610" s="9">
        <f>LN(301.26)</f>
        <v>5.7079736792746694</v>
      </c>
      <c r="P610" s="12">
        <v>2.1</v>
      </c>
      <c r="Q610" s="9">
        <v>13.227348422581935</v>
      </c>
      <c r="R610" s="9">
        <v>0.25</v>
      </c>
      <c r="S610" s="9">
        <v>0.44842053706961593</v>
      </c>
    </row>
    <row r="611" spans="1:19" ht="15.6" x14ac:dyDescent="0.3">
      <c r="A611" s="13" t="s">
        <v>209</v>
      </c>
      <c r="B611" s="2" t="s">
        <v>129</v>
      </c>
      <c r="C611" s="1">
        <v>2017</v>
      </c>
      <c r="D611" s="4" t="s">
        <v>160</v>
      </c>
      <c r="E611" s="5"/>
      <c r="F611" s="5"/>
      <c r="G611" s="5"/>
      <c r="H611" s="5"/>
      <c r="I611">
        <v>0</v>
      </c>
      <c r="J611" s="1">
        <v>0</v>
      </c>
      <c r="K611" s="1">
        <v>0</v>
      </c>
      <c r="L611" s="9">
        <v>1.62</v>
      </c>
      <c r="M611" s="9">
        <v>9.93</v>
      </c>
      <c r="N611" s="9">
        <v>15.95</v>
      </c>
      <c r="O611" s="9">
        <f>LN(319.11)</f>
        <v>5.7655358709316831</v>
      </c>
      <c r="P611" s="9">
        <v>3.9</v>
      </c>
      <c r="Q611" s="9">
        <v>13.308723435131316</v>
      </c>
      <c r="R611" s="9">
        <v>0.375</v>
      </c>
      <c r="S611" s="9">
        <v>0.37780780441812134</v>
      </c>
    </row>
    <row r="612" spans="1:19" ht="15.6" x14ac:dyDescent="0.3">
      <c r="A612" s="13" t="s">
        <v>209</v>
      </c>
      <c r="B612" s="2" t="s">
        <v>129</v>
      </c>
      <c r="C612" s="1">
        <v>2018</v>
      </c>
      <c r="D612" s="4" t="s">
        <v>160</v>
      </c>
      <c r="E612" s="5"/>
      <c r="F612" s="5"/>
      <c r="G612" s="5"/>
      <c r="H612" s="5"/>
      <c r="I612">
        <v>0</v>
      </c>
      <c r="J612" s="1">
        <v>0</v>
      </c>
      <c r="K612" s="1">
        <v>0</v>
      </c>
      <c r="L612" s="9">
        <v>1.1399999999999999</v>
      </c>
      <c r="M612" s="9">
        <v>8.4</v>
      </c>
      <c r="N612" s="9">
        <v>15.64</v>
      </c>
      <c r="O612" s="9">
        <f>LN(358.79)</f>
        <v>5.8827372591162019</v>
      </c>
      <c r="P612" s="9">
        <v>0.9</v>
      </c>
      <c r="Q612" s="9">
        <v>13.633644497416151</v>
      </c>
      <c r="R612" s="9">
        <v>0.375</v>
      </c>
      <c r="S612" s="9">
        <v>0.46250448295756452</v>
      </c>
    </row>
    <row r="613" spans="1:19" ht="15.6" x14ac:dyDescent="0.3">
      <c r="A613" s="13" t="s">
        <v>209</v>
      </c>
      <c r="B613" s="2" t="s">
        <v>129</v>
      </c>
      <c r="C613" s="1">
        <v>2019</v>
      </c>
      <c r="D613" s="4" t="s">
        <v>160</v>
      </c>
      <c r="E613" s="5"/>
      <c r="F613" s="5"/>
      <c r="G613" s="5"/>
      <c r="H613" s="5"/>
      <c r="I613">
        <v>0</v>
      </c>
      <c r="J613" s="1">
        <v>0</v>
      </c>
      <c r="K613" s="1">
        <v>0</v>
      </c>
      <c r="L613" s="9">
        <v>1.06</v>
      </c>
      <c r="M613" s="9">
        <v>8.1199999999999992</v>
      </c>
      <c r="N613" s="9">
        <v>13.91</v>
      </c>
      <c r="O613" s="9">
        <f>LN(365.18)</f>
        <v>5.9003903827085873</v>
      </c>
      <c r="P613" s="12">
        <v>0.7</v>
      </c>
      <c r="Q613" s="9">
        <v>13.810648758547366</v>
      </c>
      <c r="R613" s="9">
        <v>0.375</v>
      </c>
      <c r="S613" s="9">
        <v>0.41595538361051099</v>
      </c>
    </row>
    <row r="614" spans="1:19" ht="15.6" x14ac:dyDescent="0.3">
      <c r="A614" s="13" t="s">
        <v>209</v>
      </c>
      <c r="B614" s="2" t="s">
        <v>129</v>
      </c>
      <c r="C614" s="1">
        <v>2020</v>
      </c>
      <c r="D614" s="4" t="s">
        <v>160</v>
      </c>
      <c r="E614" s="5"/>
      <c r="F614" s="5"/>
      <c r="G614" s="5"/>
      <c r="H614" s="5"/>
      <c r="I614">
        <v>0</v>
      </c>
      <c r="J614" s="1">
        <v>0</v>
      </c>
      <c r="K614" s="1">
        <v>0</v>
      </c>
      <c r="L614" s="9">
        <v>1.02</v>
      </c>
      <c r="M614" s="9">
        <v>8.48</v>
      </c>
      <c r="N614" s="9">
        <v>14.16</v>
      </c>
      <c r="O614" s="9">
        <f>LN(337.46)</f>
        <v>5.8214469847701915</v>
      </c>
      <c r="P614" s="12">
        <v>-0.1</v>
      </c>
      <c r="Q614" s="9">
        <v>13.896508808960842</v>
      </c>
      <c r="R614" s="9">
        <v>0.375</v>
      </c>
      <c r="S614" s="9">
        <v>0.40100187297866319</v>
      </c>
    </row>
    <row r="615" spans="1:19" ht="15.6" x14ac:dyDescent="0.3">
      <c r="A615" s="13" t="s">
        <v>209</v>
      </c>
      <c r="B615" s="2" t="s">
        <v>129</v>
      </c>
      <c r="C615" s="1">
        <v>2021</v>
      </c>
      <c r="D615" s="4" t="s">
        <v>160</v>
      </c>
      <c r="E615" s="5">
        <v>50</v>
      </c>
      <c r="F615" s="5">
        <v>45</v>
      </c>
      <c r="G615" s="5">
        <v>43.4</v>
      </c>
      <c r="H615" s="5">
        <v>66.900000000000006</v>
      </c>
      <c r="I615">
        <v>0</v>
      </c>
      <c r="J615" s="1">
        <v>0</v>
      </c>
      <c r="K615" s="1">
        <v>0</v>
      </c>
      <c r="L615" s="9">
        <v>1.27</v>
      </c>
      <c r="M615" s="9">
        <v>8.9700000000000006</v>
      </c>
      <c r="N615" s="9">
        <v>14.76</v>
      </c>
      <c r="O615" s="9">
        <f>LN(373.78)</f>
        <v>5.9236673890421567</v>
      </c>
      <c r="P615" s="12">
        <v>2.5</v>
      </c>
      <c r="Q615" s="9">
        <v>14.002398340330824</v>
      </c>
      <c r="R615" s="9">
        <v>0.375</v>
      </c>
      <c r="S615" s="9">
        <v>0.39268448069336004</v>
      </c>
    </row>
    <row r="616" spans="1:19" ht="15.6" x14ac:dyDescent="0.3">
      <c r="A616" s="13" t="s">
        <v>209</v>
      </c>
      <c r="B616" s="2" t="s">
        <v>129</v>
      </c>
      <c r="C616" s="1">
        <v>2022</v>
      </c>
      <c r="D616" s="4" t="s">
        <v>160</v>
      </c>
      <c r="E616" s="5">
        <v>41.3</v>
      </c>
      <c r="F616" s="5">
        <v>49</v>
      </c>
      <c r="G616" s="5">
        <v>41.3</v>
      </c>
      <c r="H616" s="5">
        <v>33</v>
      </c>
      <c r="I616">
        <v>1.3</v>
      </c>
      <c r="J616" s="1">
        <v>0.5</v>
      </c>
      <c r="K616" s="1">
        <v>0.8</v>
      </c>
      <c r="L616" s="9">
        <v>0.96</v>
      </c>
      <c r="M616" s="9">
        <v>7.49</v>
      </c>
      <c r="N616" s="9">
        <v>12.39</v>
      </c>
      <c r="O616" s="9">
        <f>LN(407.61)</f>
        <v>6.0103108349043417</v>
      </c>
      <c r="P616" s="12">
        <v>3.4</v>
      </c>
      <c r="Q616" s="9">
        <v>14.023054668205949</v>
      </c>
      <c r="R616" s="9">
        <v>0.375</v>
      </c>
      <c r="S616" s="9">
        <v>0.39581213860620224</v>
      </c>
    </row>
    <row r="617" spans="1:19" ht="15.6" x14ac:dyDescent="0.3">
      <c r="A617" s="13" t="s">
        <v>209</v>
      </c>
      <c r="B617" s="2" t="s">
        <v>129</v>
      </c>
      <c r="C617" s="1">
        <v>2023</v>
      </c>
      <c r="D617" s="4" t="s">
        <v>160</v>
      </c>
      <c r="E617" s="5">
        <v>50</v>
      </c>
      <c r="F617" s="5">
        <v>45</v>
      </c>
      <c r="G617" s="5">
        <v>43.4</v>
      </c>
      <c r="H617" s="5">
        <v>66.900000000000006</v>
      </c>
      <c r="I617">
        <v>1.3</v>
      </c>
      <c r="J617" s="1">
        <v>0.5</v>
      </c>
      <c r="K617" s="1">
        <v>0.8</v>
      </c>
      <c r="L617" s="9">
        <v>1</v>
      </c>
      <c r="M617" s="9">
        <v>7.96</v>
      </c>
      <c r="N617" s="9">
        <v>12.15</v>
      </c>
      <c r="O617" s="9">
        <f>LN(399.71)</f>
        <v>5.9907392841683871</v>
      </c>
      <c r="P617" s="12">
        <v>2.5</v>
      </c>
      <c r="Q617" s="9">
        <v>14.008169334456625</v>
      </c>
      <c r="R617" s="9">
        <v>0.375</v>
      </c>
      <c r="S617" s="9">
        <v>0.34492180831015062</v>
      </c>
    </row>
    <row r="618" spans="1:19" ht="15.6" x14ac:dyDescent="0.3">
      <c r="A618" s="13" t="s">
        <v>210</v>
      </c>
      <c r="B618" s="2" t="s">
        <v>130</v>
      </c>
      <c r="C618" s="1">
        <v>2016</v>
      </c>
      <c r="D618" s="4" t="s">
        <v>165</v>
      </c>
      <c r="E618" s="5"/>
      <c r="F618" s="5"/>
      <c r="G618" s="5"/>
      <c r="H618" s="5"/>
      <c r="I618">
        <v>1.3</v>
      </c>
      <c r="J618" s="1">
        <v>0.5</v>
      </c>
      <c r="K618" s="1">
        <v>0.8</v>
      </c>
      <c r="L618" s="9"/>
      <c r="M618" s="9"/>
      <c r="N618" s="9"/>
      <c r="O618" s="9">
        <f>LN(301.26)</f>
        <v>5.7079736792746694</v>
      </c>
      <c r="P618" s="12">
        <v>2.1</v>
      </c>
      <c r="Q618" s="9"/>
      <c r="R618" s="9">
        <v>0.44444444444444442</v>
      </c>
      <c r="S618" s="9"/>
    </row>
    <row r="619" spans="1:19" ht="15.6" x14ac:dyDescent="0.3">
      <c r="A619" s="13" t="s">
        <v>210</v>
      </c>
      <c r="B619" s="2" t="s">
        <v>130</v>
      </c>
      <c r="C619" s="1">
        <v>2017</v>
      </c>
      <c r="D619" s="4" t="s">
        <v>165</v>
      </c>
      <c r="E619" s="5"/>
      <c r="F619" s="5"/>
      <c r="G619" s="5"/>
      <c r="H619" s="5"/>
      <c r="I619">
        <v>1.3</v>
      </c>
      <c r="J619" s="1">
        <v>0.5</v>
      </c>
      <c r="K619" s="1">
        <v>0.8</v>
      </c>
      <c r="L619" s="9"/>
      <c r="M619" s="9"/>
      <c r="N619" s="9"/>
      <c r="O619" s="9">
        <f>LN(319.11)</f>
        <v>5.7655358709316831</v>
      </c>
      <c r="P619" s="9">
        <v>3.9</v>
      </c>
      <c r="Q619" s="9"/>
      <c r="R619" s="9">
        <v>0.4</v>
      </c>
      <c r="S619" s="9"/>
    </row>
    <row r="620" spans="1:19" ht="15.6" x14ac:dyDescent="0.3">
      <c r="A620" s="13" t="s">
        <v>210</v>
      </c>
      <c r="B620" s="2" t="s">
        <v>130</v>
      </c>
      <c r="C620" s="1">
        <v>2018</v>
      </c>
      <c r="D620" s="4" t="s">
        <v>165</v>
      </c>
      <c r="E620" s="5"/>
      <c r="F620" s="5"/>
      <c r="G620" s="5"/>
      <c r="H620" s="5"/>
      <c r="I620">
        <v>1.3</v>
      </c>
      <c r="J620" s="1">
        <v>0.5</v>
      </c>
      <c r="K620" s="1">
        <v>0.8</v>
      </c>
      <c r="L620" s="9"/>
      <c r="M620" s="9"/>
      <c r="N620" s="9"/>
      <c r="O620" s="9">
        <f>LN(358.79)</f>
        <v>5.8827372591162019</v>
      </c>
      <c r="P620" s="9">
        <v>0.9</v>
      </c>
      <c r="Q620" s="9"/>
      <c r="R620" s="9">
        <v>0.36363636363636365</v>
      </c>
      <c r="S620" s="9"/>
    </row>
    <row r="621" spans="1:19" ht="15.6" x14ac:dyDescent="0.3">
      <c r="A621" s="13" t="s">
        <v>210</v>
      </c>
      <c r="B621" s="2" t="s">
        <v>130</v>
      </c>
      <c r="C621" s="1">
        <v>2019</v>
      </c>
      <c r="D621" s="4" t="s">
        <v>165</v>
      </c>
      <c r="E621" s="5"/>
      <c r="F621" s="5"/>
      <c r="G621" s="5"/>
      <c r="H621" s="5"/>
      <c r="I621">
        <v>1.3</v>
      </c>
      <c r="J621" s="1">
        <v>0.5</v>
      </c>
      <c r="K621" s="1">
        <v>0.8</v>
      </c>
      <c r="L621" s="9"/>
      <c r="M621" s="9"/>
      <c r="N621" s="9"/>
      <c r="O621" s="9">
        <f>LN(365.18)</f>
        <v>5.9003903827085873</v>
      </c>
      <c r="P621" s="12">
        <v>0.7</v>
      </c>
      <c r="Q621" s="9"/>
      <c r="R621" s="9">
        <v>0.5</v>
      </c>
      <c r="S621" s="9"/>
    </row>
    <row r="622" spans="1:19" ht="15.6" x14ac:dyDescent="0.3">
      <c r="A622" s="13" t="s">
        <v>210</v>
      </c>
      <c r="B622" s="2" t="s">
        <v>130</v>
      </c>
      <c r="C622" s="1">
        <v>2020</v>
      </c>
      <c r="D622" s="4" t="s">
        <v>165</v>
      </c>
      <c r="E622" s="5"/>
      <c r="F622" s="5"/>
      <c r="G622" s="5"/>
      <c r="H622" s="5"/>
      <c r="I622">
        <v>1.3</v>
      </c>
      <c r="J622" s="1">
        <v>0.5</v>
      </c>
      <c r="K622" s="1">
        <v>0.8</v>
      </c>
      <c r="L622" s="9"/>
      <c r="M622" s="9"/>
      <c r="N622" s="9"/>
      <c r="O622" s="9">
        <f>LN(337.46)</f>
        <v>5.8214469847701915</v>
      </c>
      <c r="P622" s="12">
        <v>-0.1</v>
      </c>
      <c r="Q622" s="9"/>
      <c r="R622" s="9">
        <v>0.46153846153846156</v>
      </c>
      <c r="S622" s="9"/>
    </row>
    <row r="623" spans="1:19" ht="15.6" x14ac:dyDescent="0.3">
      <c r="A623" s="13" t="s">
        <v>210</v>
      </c>
      <c r="B623" s="2" t="s">
        <v>130</v>
      </c>
      <c r="C623" s="1">
        <v>2021</v>
      </c>
      <c r="D623" s="4" t="s">
        <v>165</v>
      </c>
      <c r="E623" s="5">
        <v>40.1</v>
      </c>
      <c r="F623" s="5">
        <v>37.9</v>
      </c>
      <c r="G623" s="5">
        <v>36.799999999999997</v>
      </c>
      <c r="H623" s="5">
        <v>49.2</v>
      </c>
      <c r="I623">
        <v>1.3</v>
      </c>
      <c r="J623" s="1">
        <v>0.5</v>
      </c>
      <c r="K623" s="1">
        <v>0.8</v>
      </c>
      <c r="L623" s="9"/>
      <c r="M623" s="9"/>
      <c r="N623" s="9"/>
      <c r="O623" s="9">
        <f>LN(373.78)</f>
        <v>5.9236673890421567</v>
      </c>
      <c r="P623" s="12">
        <v>2.5</v>
      </c>
      <c r="Q623" s="9"/>
      <c r="R623" s="9">
        <v>0.46153846153846156</v>
      </c>
      <c r="S623" s="9"/>
    </row>
    <row r="624" spans="1:19" ht="15.6" x14ac:dyDescent="0.3">
      <c r="A624" s="13" t="s">
        <v>210</v>
      </c>
      <c r="B624" s="2" t="s">
        <v>130</v>
      </c>
      <c r="C624" s="1">
        <v>2022</v>
      </c>
      <c r="D624" s="4" t="s">
        <v>165</v>
      </c>
      <c r="E624" s="5">
        <v>41.6</v>
      </c>
      <c r="F624" s="5">
        <v>40</v>
      </c>
      <c r="G624" s="5">
        <v>40.700000000000003</v>
      </c>
      <c r="H624" s="5">
        <v>45.5</v>
      </c>
      <c r="I624">
        <v>1.3</v>
      </c>
      <c r="J624" s="1">
        <v>0.5</v>
      </c>
      <c r="K624" s="1">
        <v>0.8</v>
      </c>
      <c r="L624" s="9"/>
      <c r="M624" s="9"/>
      <c r="N624" s="9"/>
      <c r="O624" s="9">
        <f>LN(407.61)</f>
        <v>6.0103108349043417</v>
      </c>
      <c r="P624" s="12">
        <v>3.4</v>
      </c>
      <c r="Q624" s="9"/>
      <c r="R624" s="9">
        <v>0.5</v>
      </c>
      <c r="S624" s="9"/>
    </row>
    <row r="625" spans="1:19" ht="15.6" x14ac:dyDescent="0.3">
      <c r="A625" s="13" t="s">
        <v>210</v>
      </c>
      <c r="B625" s="2" t="s">
        <v>130</v>
      </c>
      <c r="C625" s="1">
        <v>2023</v>
      </c>
      <c r="D625" s="4" t="s">
        <v>165</v>
      </c>
      <c r="E625" s="5">
        <v>40.1</v>
      </c>
      <c r="F625" s="5">
        <v>37.9</v>
      </c>
      <c r="G625" s="5">
        <v>36.799999999999997</v>
      </c>
      <c r="H625" s="5">
        <v>49.2</v>
      </c>
      <c r="I625">
        <v>1.3</v>
      </c>
      <c r="J625" s="1">
        <v>0.5</v>
      </c>
      <c r="K625" s="1">
        <v>0.8</v>
      </c>
      <c r="L625" s="9"/>
      <c r="M625" s="9"/>
      <c r="N625" s="9"/>
      <c r="O625" s="9">
        <f>LN(399.71)</f>
        <v>5.9907392841683871</v>
      </c>
      <c r="P625" s="12">
        <v>2.5</v>
      </c>
      <c r="Q625" s="9"/>
      <c r="R625" s="9">
        <v>0.46666666666666667</v>
      </c>
      <c r="S625" s="9"/>
    </row>
    <row r="626" spans="1:19" ht="15.6" x14ac:dyDescent="0.3">
      <c r="A626" s="13" t="s">
        <v>211</v>
      </c>
      <c r="B626" s="2" t="s">
        <v>131</v>
      </c>
      <c r="C626" s="1">
        <v>2016</v>
      </c>
      <c r="D626" s="4" t="s">
        <v>158</v>
      </c>
      <c r="E626" s="5"/>
      <c r="F626" s="5"/>
      <c r="G626" s="5"/>
      <c r="H626" s="5"/>
      <c r="I626">
        <v>0</v>
      </c>
      <c r="J626" s="1">
        <v>0</v>
      </c>
      <c r="K626" s="1">
        <v>0</v>
      </c>
      <c r="L626" s="9">
        <v>0.74</v>
      </c>
      <c r="M626" s="9">
        <v>3.8</v>
      </c>
      <c r="N626" s="9">
        <v>6.89</v>
      </c>
      <c r="O626" s="9">
        <f>LN(301.26)</f>
        <v>5.7079736792746694</v>
      </c>
      <c r="P626" s="12">
        <v>2.1</v>
      </c>
      <c r="Q626" s="9">
        <v>16.59041172943121</v>
      </c>
      <c r="R626" s="9">
        <v>0.5</v>
      </c>
      <c r="S626" s="9">
        <v>0.44829401831085808</v>
      </c>
    </row>
    <row r="627" spans="1:19" ht="15.6" x14ac:dyDescent="0.3">
      <c r="A627" s="1" t="s">
        <v>211</v>
      </c>
      <c r="B627" s="2" t="s">
        <v>131</v>
      </c>
      <c r="C627" s="1">
        <v>2017</v>
      </c>
      <c r="D627" s="4" t="s">
        <v>158</v>
      </c>
      <c r="E627" s="5"/>
      <c r="F627" s="5"/>
      <c r="G627" s="5"/>
      <c r="H627" s="5"/>
      <c r="I627">
        <v>0</v>
      </c>
      <c r="J627" s="1">
        <v>0</v>
      </c>
      <c r="K627" s="1">
        <v>0</v>
      </c>
      <c r="L627" s="9">
        <v>0.96</v>
      </c>
      <c r="M627" s="9">
        <v>3.6</v>
      </c>
      <c r="N627" s="9">
        <v>6.01</v>
      </c>
      <c r="O627" s="9">
        <f>LN(319.11)</f>
        <v>5.7655358709316831</v>
      </c>
      <c r="P627" s="9">
        <v>3.9</v>
      </c>
      <c r="Q627" s="9">
        <v>16.573082592008962</v>
      </c>
      <c r="R627" s="9">
        <v>0.5</v>
      </c>
      <c r="S627" s="9">
        <v>0.40087173020280775</v>
      </c>
    </row>
    <row r="628" spans="1:19" ht="15.6" x14ac:dyDescent="0.3">
      <c r="A628" s="1" t="s">
        <v>211</v>
      </c>
      <c r="B628" s="2" t="s">
        <v>131</v>
      </c>
      <c r="C628" s="1">
        <v>2018</v>
      </c>
      <c r="D628" s="4" t="s">
        <v>158</v>
      </c>
      <c r="E628" s="5"/>
      <c r="F628" s="5"/>
      <c r="G628" s="5"/>
      <c r="H628" s="5"/>
      <c r="I628">
        <v>0</v>
      </c>
      <c r="J628" s="1">
        <v>0</v>
      </c>
      <c r="K628" s="1">
        <v>0</v>
      </c>
      <c r="L628" s="9">
        <v>0.67</v>
      </c>
      <c r="M628" s="9">
        <v>7.72</v>
      </c>
      <c r="N628" s="9">
        <v>13</v>
      </c>
      <c r="O628" s="9">
        <f>LN(358.79)</f>
        <v>5.8827372591162019</v>
      </c>
      <c r="P628" s="9">
        <v>0.9</v>
      </c>
      <c r="Q628" s="9">
        <v>15.633420113736713</v>
      </c>
      <c r="R628" s="9">
        <v>0.5</v>
      </c>
      <c r="S628" s="9">
        <v>0.40662562084244608</v>
      </c>
    </row>
    <row r="629" spans="1:19" ht="15.6" x14ac:dyDescent="0.3">
      <c r="A629" s="1" t="s">
        <v>211</v>
      </c>
      <c r="B629" s="2" t="s">
        <v>131</v>
      </c>
      <c r="C629" s="1">
        <v>2019</v>
      </c>
      <c r="D629" s="4" t="s">
        <v>158</v>
      </c>
      <c r="E629" s="5"/>
      <c r="F629" s="5"/>
      <c r="G629" s="5"/>
      <c r="H629" s="5"/>
      <c r="I629">
        <v>0</v>
      </c>
      <c r="J629" s="1">
        <v>0</v>
      </c>
      <c r="K629" s="1">
        <v>0</v>
      </c>
      <c r="L629" s="9">
        <v>0.6</v>
      </c>
      <c r="M629" s="9">
        <v>3.72</v>
      </c>
      <c r="N629" s="9">
        <v>6.27</v>
      </c>
      <c r="O629" s="9">
        <f>LN(365.18)</f>
        <v>5.9003903827085873</v>
      </c>
      <c r="P629" s="12">
        <v>0.7</v>
      </c>
      <c r="Q629" s="9">
        <v>15.633637496589277</v>
      </c>
      <c r="R629" s="9">
        <v>0.58333333333333337</v>
      </c>
      <c r="S629" s="9">
        <v>0.40750894151575839</v>
      </c>
    </row>
    <row r="630" spans="1:19" ht="15.6" x14ac:dyDescent="0.3">
      <c r="A630" s="1" t="s">
        <v>211</v>
      </c>
      <c r="B630" s="2" t="s">
        <v>131</v>
      </c>
      <c r="C630" s="1">
        <v>2020</v>
      </c>
      <c r="D630" s="4" t="s">
        <v>158</v>
      </c>
      <c r="E630" s="5"/>
      <c r="F630" s="5"/>
      <c r="G630" s="5"/>
      <c r="H630" s="5"/>
      <c r="I630">
        <v>0.2</v>
      </c>
      <c r="J630" s="1">
        <v>0</v>
      </c>
      <c r="K630" s="1">
        <v>0.2</v>
      </c>
      <c r="L630" s="9">
        <v>0.54</v>
      </c>
      <c r="M630" s="9">
        <v>3.01</v>
      </c>
      <c r="N630" s="9">
        <v>5.32</v>
      </c>
      <c r="O630" s="9">
        <f>LN(337.46)</f>
        <v>5.8214469847701915</v>
      </c>
      <c r="P630" s="12">
        <v>-0.1</v>
      </c>
      <c r="Q630" s="9">
        <v>15.667454709112143</v>
      </c>
      <c r="R630" s="9">
        <v>0.58333333333333337</v>
      </c>
      <c r="S630" s="9">
        <v>0.43486233003504599</v>
      </c>
    </row>
    <row r="631" spans="1:19" ht="15.6" x14ac:dyDescent="0.3">
      <c r="A631" s="1" t="s">
        <v>211</v>
      </c>
      <c r="B631" s="2" t="s">
        <v>131</v>
      </c>
      <c r="C631" s="1">
        <v>2021</v>
      </c>
      <c r="D631" s="4" t="s">
        <v>158</v>
      </c>
      <c r="E631" s="5">
        <v>76.599999999999994</v>
      </c>
      <c r="F631" s="5">
        <v>59.7</v>
      </c>
      <c r="G631" s="5">
        <v>76.400000000000006</v>
      </c>
      <c r="H631" s="5">
        <v>95.4</v>
      </c>
      <c r="I631">
        <v>0.4</v>
      </c>
      <c r="J631" s="1">
        <v>0</v>
      </c>
      <c r="K631" s="1">
        <v>0.4</v>
      </c>
      <c r="L631" s="9">
        <v>0.52</v>
      </c>
      <c r="M631" s="9">
        <v>5</v>
      </c>
      <c r="N631" s="9">
        <v>8.76</v>
      </c>
      <c r="O631" s="9">
        <f>LN(373.78)</f>
        <v>5.9236673890421567</v>
      </c>
      <c r="P631" s="12">
        <v>2.5</v>
      </c>
      <c r="Q631" s="9">
        <v>15.740826523668414</v>
      </c>
      <c r="R631" s="9">
        <v>0.58333333333333337</v>
      </c>
      <c r="S631" s="9">
        <v>0.42921332912371679</v>
      </c>
    </row>
    <row r="632" spans="1:19" ht="15.6" x14ac:dyDescent="0.3">
      <c r="A632" s="1" t="s">
        <v>211</v>
      </c>
      <c r="B632" s="2" t="s">
        <v>131</v>
      </c>
      <c r="C632" s="1">
        <v>2022</v>
      </c>
      <c r="D632" s="4" t="s">
        <v>158</v>
      </c>
      <c r="E632" s="5">
        <v>71.3</v>
      </c>
      <c r="F632" s="5">
        <v>58.7</v>
      </c>
      <c r="G632" s="5">
        <v>65.2</v>
      </c>
      <c r="H632" s="5">
        <v>95.8</v>
      </c>
      <c r="I632">
        <v>0.4</v>
      </c>
      <c r="J632" s="1">
        <v>0</v>
      </c>
      <c r="K632" s="1">
        <v>0.4</v>
      </c>
      <c r="L632" s="9">
        <v>0.48</v>
      </c>
      <c r="M632" s="9">
        <v>3.65</v>
      </c>
      <c r="N632" s="9">
        <v>6.74</v>
      </c>
      <c r="O632" s="9">
        <f>LN(407.61)</f>
        <v>6.0103108349043417</v>
      </c>
      <c r="P632" s="12">
        <v>3.4</v>
      </c>
      <c r="Q632" s="9">
        <v>15.741458495561961</v>
      </c>
      <c r="R632" s="9">
        <v>0.58333333333333337</v>
      </c>
      <c r="S632" s="9">
        <v>0.4584339043815992</v>
      </c>
    </row>
    <row r="633" spans="1:19" ht="15.6" x14ac:dyDescent="0.3">
      <c r="A633" s="1" t="s">
        <v>211</v>
      </c>
      <c r="B633" s="2" t="s">
        <v>131</v>
      </c>
      <c r="C633" s="1">
        <v>2023</v>
      </c>
      <c r="D633" s="4" t="s">
        <v>158</v>
      </c>
      <c r="E633" s="5">
        <v>76.599999999999994</v>
      </c>
      <c r="F633" s="5">
        <v>59.7</v>
      </c>
      <c r="G633" s="5">
        <v>76.400000000000006</v>
      </c>
      <c r="H633" s="5">
        <v>95.4</v>
      </c>
      <c r="I633">
        <v>1.3</v>
      </c>
      <c r="J633" s="1">
        <v>0.5</v>
      </c>
      <c r="K633" s="1">
        <v>0.8</v>
      </c>
      <c r="L633" s="9">
        <v>0.38</v>
      </c>
      <c r="M633" s="9">
        <v>3.94</v>
      </c>
      <c r="N633" s="9">
        <v>8.44</v>
      </c>
      <c r="O633" s="9">
        <f>LN(399.71)</f>
        <v>5.9907392841683871</v>
      </c>
      <c r="P633" s="12">
        <v>2.5</v>
      </c>
      <c r="Q633" s="9">
        <v>15.884424629778257</v>
      </c>
      <c r="R633" s="9">
        <v>0.66666666666666663</v>
      </c>
      <c r="S633" s="9">
        <v>0.53339636003133817</v>
      </c>
    </row>
    <row r="634" spans="1:19" ht="15.6" x14ac:dyDescent="0.3">
      <c r="A634" s="13" t="s">
        <v>212</v>
      </c>
      <c r="B634" s="2" t="s">
        <v>132</v>
      </c>
      <c r="C634" s="1">
        <v>2016</v>
      </c>
      <c r="D634" s="4" t="s">
        <v>162</v>
      </c>
      <c r="E634" s="5">
        <v>54.1</v>
      </c>
      <c r="F634" s="5">
        <v>57.9</v>
      </c>
      <c r="G634" s="5">
        <v>48.7</v>
      </c>
      <c r="H634" s="5">
        <v>56</v>
      </c>
      <c r="I634">
        <v>0.9</v>
      </c>
      <c r="J634" s="1">
        <v>0.5</v>
      </c>
      <c r="K634" s="1">
        <v>0.4</v>
      </c>
      <c r="L634" s="9"/>
      <c r="M634" s="9">
        <v>6.01</v>
      </c>
      <c r="N634" s="9">
        <v>13.72</v>
      </c>
      <c r="O634" s="9">
        <f>LN(301.26)</f>
        <v>5.7079736792746694</v>
      </c>
      <c r="P634" s="12">
        <v>2.1</v>
      </c>
      <c r="Q634" s="9">
        <v>14.986067003234378</v>
      </c>
      <c r="R634" s="9">
        <v>0.55555555555555558</v>
      </c>
      <c r="S634" s="9">
        <v>0.5617283529365783</v>
      </c>
    </row>
    <row r="635" spans="1:19" ht="15.6" x14ac:dyDescent="0.3">
      <c r="A635" s="1" t="s">
        <v>212</v>
      </c>
      <c r="B635" s="2" t="s">
        <v>132</v>
      </c>
      <c r="C635" s="1">
        <v>2017</v>
      </c>
      <c r="D635" s="4" t="s">
        <v>162</v>
      </c>
      <c r="E635" s="5">
        <v>54</v>
      </c>
      <c r="F635" s="5">
        <v>64.099999999999994</v>
      </c>
      <c r="G635" s="5">
        <v>49.5</v>
      </c>
      <c r="H635" s="5">
        <v>45.8</v>
      </c>
      <c r="I635">
        <v>1.1000000000000001</v>
      </c>
      <c r="J635" s="1">
        <v>0.5</v>
      </c>
      <c r="K635" s="1">
        <v>0.6</v>
      </c>
      <c r="L635" s="9"/>
      <c r="M635" s="9">
        <v>4.45</v>
      </c>
      <c r="N635" s="9">
        <v>9.4700000000000006</v>
      </c>
      <c r="O635" s="9">
        <f>LN(319.11)</f>
        <v>5.7655358709316831</v>
      </c>
      <c r="P635" s="9">
        <v>3.9</v>
      </c>
      <c r="Q635" s="9">
        <v>14.998636161617172</v>
      </c>
      <c r="R635" s="9">
        <v>0.55555555555555558</v>
      </c>
      <c r="S635" s="9">
        <v>0.53004078341903138</v>
      </c>
    </row>
    <row r="636" spans="1:19" ht="15.6" x14ac:dyDescent="0.3">
      <c r="A636" s="1" t="s">
        <v>212</v>
      </c>
      <c r="B636" s="2" t="s">
        <v>132</v>
      </c>
      <c r="C636" s="1">
        <v>2018</v>
      </c>
      <c r="D636" s="4" t="s">
        <v>162</v>
      </c>
      <c r="E636" s="5">
        <v>59.5</v>
      </c>
      <c r="F636" s="5">
        <v>72.2</v>
      </c>
      <c r="G636" s="5">
        <v>51.7</v>
      </c>
      <c r="H636" s="5">
        <v>52.5</v>
      </c>
      <c r="I636">
        <v>1.1000000000000001</v>
      </c>
      <c r="J636" s="1">
        <v>0.5</v>
      </c>
      <c r="K636" s="1">
        <v>0.6</v>
      </c>
      <c r="L636" s="9">
        <v>0.45</v>
      </c>
      <c r="M636" s="9">
        <v>-4.22</v>
      </c>
      <c r="N636" s="9">
        <v>-3.37</v>
      </c>
      <c r="O636" s="9">
        <f>LN(358.79)</f>
        <v>5.8827372591162019</v>
      </c>
      <c r="P636" s="9">
        <v>0.9</v>
      </c>
      <c r="Q636" s="9">
        <v>15.11095445494816</v>
      </c>
      <c r="R636" s="9">
        <v>0.55555555555555558</v>
      </c>
      <c r="S636" s="9">
        <v>0.3750875057527247</v>
      </c>
    </row>
    <row r="637" spans="1:19" ht="15.6" x14ac:dyDescent="0.3">
      <c r="A637" s="1" t="s">
        <v>212</v>
      </c>
      <c r="B637" s="2" t="s">
        <v>132</v>
      </c>
      <c r="C637" s="1">
        <v>2019</v>
      </c>
      <c r="D637" s="4" t="s">
        <v>162</v>
      </c>
      <c r="E637" s="5">
        <v>57.8</v>
      </c>
      <c r="F637" s="5">
        <v>70.8</v>
      </c>
      <c r="G637" s="5">
        <v>50.2</v>
      </c>
      <c r="H637" s="5">
        <v>50.3</v>
      </c>
      <c r="I637">
        <v>1.1000000000000001</v>
      </c>
      <c r="J637" s="1">
        <v>0.5</v>
      </c>
      <c r="K637" s="1">
        <v>0.6</v>
      </c>
      <c r="L637" s="9">
        <v>0.4</v>
      </c>
      <c r="M637" s="9">
        <v>3.87</v>
      </c>
      <c r="N637" s="9">
        <v>6.02</v>
      </c>
      <c r="O637" s="9">
        <f>LN(365.18)</f>
        <v>5.9003903827085873</v>
      </c>
      <c r="P637" s="12">
        <v>0.7</v>
      </c>
      <c r="Q637" s="9">
        <v>15.146051429640304</v>
      </c>
      <c r="R637" s="9">
        <v>0.55555555555555558</v>
      </c>
      <c r="S637" s="9">
        <v>0.35732994915001998</v>
      </c>
    </row>
    <row r="638" spans="1:19" ht="15.6" x14ac:dyDescent="0.3">
      <c r="A638" s="1" t="s">
        <v>212</v>
      </c>
      <c r="B638" s="2" t="s">
        <v>132</v>
      </c>
      <c r="C638" s="1">
        <v>2020</v>
      </c>
      <c r="D638" s="4" t="s">
        <v>162</v>
      </c>
      <c r="E638" s="5">
        <v>66.900000000000006</v>
      </c>
      <c r="F638" s="5">
        <v>77.3</v>
      </c>
      <c r="G638" s="5">
        <v>54.2</v>
      </c>
      <c r="H638" s="5">
        <v>69.900000000000006</v>
      </c>
      <c r="I638">
        <v>1.1000000000000001</v>
      </c>
      <c r="J638" s="1">
        <v>0.5</v>
      </c>
      <c r="K638" s="1">
        <v>0.6</v>
      </c>
      <c r="L638" s="9">
        <v>0.31</v>
      </c>
      <c r="M638" s="9">
        <v>-3.39</v>
      </c>
      <c r="N638" s="9">
        <v>-5.46</v>
      </c>
      <c r="O638" s="9">
        <f>LN(337.46)</f>
        <v>5.8214469847701915</v>
      </c>
      <c r="P638" s="12">
        <v>-0.1</v>
      </c>
      <c r="Q638" s="9">
        <v>15.119852722830469</v>
      </c>
      <c r="R638" s="9">
        <v>0.6</v>
      </c>
      <c r="S638" s="9">
        <v>0.37836285270200454</v>
      </c>
    </row>
    <row r="639" spans="1:19" ht="15.6" x14ac:dyDescent="0.3">
      <c r="A639" s="1" t="s">
        <v>212</v>
      </c>
      <c r="B639" s="2" t="s">
        <v>132</v>
      </c>
      <c r="C639" s="1">
        <v>2021</v>
      </c>
      <c r="D639" s="4" t="s">
        <v>162</v>
      </c>
      <c r="E639" s="5">
        <v>56.7</v>
      </c>
      <c r="F639" s="5">
        <v>30.8</v>
      </c>
      <c r="G639" s="5">
        <v>56.4</v>
      </c>
      <c r="H639" s="5">
        <v>95.3</v>
      </c>
      <c r="I639">
        <v>1.1000000000000001</v>
      </c>
      <c r="J639" s="1">
        <v>0.5</v>
      </c>
      <c r="K639" s="1">
        <v>0.6</v>
      </c>
      <c r="L639" s="9">
        <v>0.26</v>
      </c>
      <c r="M639" s="9">
        <v>0.94</v>
      </c>
      <c r="N639" s="9">
        <v>1.54</v>
      </c>
      <c r="O639" s="9">
        <f>LN(373.78)</f>
        <v>5.9236673890421567</v>
      </c>
      <c r="P639" s="12">
        <v>2.5</v>
      </c>
      <c r="Q639" s="9">
        <v>15.134831168514225</v>
      </c>
      <c r="R639" s="9">
        <v>0.6</v>
      </c>
      <c r="S639" s="9">
        <v>0.38842501989505673</v>
      </c>
    </row>
    <row r="640" spans="1:19" ht="15.6" x14ac:dyDescent="0.3">
      <c r="A640" s="1" t="s">
        <v>212</v>
      </c>
      <c r="B640" s="2" t="s">
        <v>132</v>
      </c>
      <c r="C640" s="1">
        <v>2022</v>
      </c>
      <c r="D640" s="4" t="s">
        <v>162</v>
      </c>
      <c r="E640" s="5">
        <v>56.4</v>
      </c>
      <c r="F640" s="5">
        <v>35.9</v>
      </c>
      <c r="G640" s="5">
        <v>51.9</v>
      </c>
      <c r="H640" s="5">
        <v>94</v>
      </c>
      <c r="I640">
        <v>1.3</v>
      </c>
      <c r="J640" s="1">
        <v>0.5</v>
      </c>
      <c r="K640" s="1">
        <v>0.8</v>
      </c>
      <c r="L640" s="9">
        <v>0.2</v>
      </c>
      <c r="M640" s="9">
        <v>2.0699999999999998</v>
      </c>
      <c r="N640" s="9">
        <v>3.28</v>
      </c>
      <c r="O640" s="9">
        <f>LN(407.61)</f>
        <v>6.0103108349043417</v>
      </c>
      <c r="P640" s="12">
        <v>3.4</v>
      </c>
      <c r="Q640" s="9">
        <v>15.056368369034557</v>
      </c>
      <c r="R640" s="9">
        <v>0.6</v>
      </c>
      <c r="S640" s="9">
        <v>0.36808093728667179</v>
      </c>
    </row>
    <row r="641" spans="1:19" ht="15.6" x14ac:dyDescent="0.3">
      <c r="A641" s="1" t="s">
        <v>212</v>
      </c>
      <c r="B641" s="2" t="s">
        <v>132</v>
      </c>
      <c r="C641" s="1">
        <v>2023</v>
      </c>
      <c r="D641" s="4" t="s">
        <v>162</v>
      </c>
      <c r="E641" s="5">
        <v>56.7</v>
      </c>
      <c r="F641" s="5">
        <v>30.8</v>
      </c>
      <c r="G641" s="5">
        <v>56.4</v>
      </c>
      <c r="H641" s="5">
        <v>95.3</v>
      </c>
      <c r="I641">
        <v>1.3</v>
      </c>
      <c r="J641" s="1">
        <v>0.5</v>
      </c>
      <c r="K641" s="1">
        <v>0.8</v>
      </c>
      <c r="L641" s="9">
        <v>0.27</v>
      </c>
      <c r="M641" s="9">
        <v>2.56</v>
      </c>
      <c r="N641" s="9">
        <v>3.97</v>
      </c>
      <c r="O641" s="9">
        <f>LN(399.71)</f>
        <v>5.9907392841683871</v>
      </c>
      <c r="P641" s="12">
        <v>2.5</v>
      </c>
      <c r="Q641" s="9">
        <v>15.059429101010462</v>
      </c>
      <c r="R641" s="9">
        <v>0.6</v>
      </c>
      <c r="S641" s="9">
        <v>0.35440526164532782</v>
      </c>
    </row>
    <row r="642" spans="1:19" ht="15.6" x14ac:dyDescent="0.3">
      <c r="A642" s="13" t="s">
        <v>213</v>
      </c>
      <c r="B642" s="2" t="s">
        <v>133</v>
      </c>
      <c r="C642" s="1">
        <v>2016</v>
      </c>
      <c r="D642" s="4" t="s">
        <v>162</v>
      </c>
      <c r="E642" s="5"/>
      <c r="F642" s="5"/>
      <c r="G642" s="5"/>
      <c r="H642" s="5"/>
      <c r="I642">
        <v>0.9</v>
      </c>
      <c r="J642" s="1">
        <v>0.5</v>
      </c>
      <c r="K642" s="1">
        <v>0.4</v>
      </c>
      <c r="L642" s="9">
        <v>0.37</v>
      </c>
      <c r="M642" s="9">
        <v>3.47</v>
      </c>
      <c r="N642" s="9">
        <v>7.22</v>
      </c>
      <c r="O642" s="9">
        <f>LN(301.26)</f>
        <v>5.7079736792746694</v>
      </c>
      <c r="P642" s="12">
        <v>2.1</v>
      </c>
      <c r="Q642" s="9">
        <v>15.507188331791687</v>
      </c>
      <c r="R642" s="9">
        <v>0.33300000000000002</v>
      </c>
      <c r="S642" s="9">
        <v>0.51974871517989696</v>
      </c>
    </row>
    <row r="643" spans="1:19" ht="15.6" x14ac:dyDescent="0.3">
      <c r="A643" s="1" t="s">
        <v>213</v>
      </c>
      <c r="B643" s="2" t="s">
        <v>133</v>
      </c>
      <c r="C643" s="1">
        <v>2017</v>
      </c>
      <c r="D643" s="4" t="s">
        <v>162</v>
      </c>
      <c r="E643" s="5"/>
      <c r="F643" s="5"/>
      <c r="G643" s="5"/>
      <c r="H643" s="5"/>
      <c r="I643">
        <v>0.9</v>
      </c>
      <c r="J643" s="1">
        <v>0.5</v>
      </c>
      <c r="K643" s="1">
        <v>0.4</v>
      </c>
      <c r="L643" s="9">
        <v>0.49</v>
      </c>
      <c r="M643" s="9">
        <v>3.52</v>
      </c>
      <c r="N643" s="9">
        <v>6.76</v>
      </c>
      <c r="O643" s="9">
        <f>LN(319.11)</f>
        <v>5.7655358709316831</v>
      </c>
      <c r="P643" s="9">
        <v>3.9</v>
      </c>
      <c r="Q643" s="9">
        <v>15.754406881838829</v>
      </c>
      <c r="R643" s="9">
        <v>0.33300000000000002</v>
      </c>
      <c r="S643" s="9">
        <v>0.47925666173937126</v>
      </c>
    </row>
    <row r="644" spans="1:19" ht="15.6" x14ac:dyDescent="0.3">
      <c r="A644" s="1" t="s">
        <v>213</v>
      </c>
      <c r="B644" s="2" t="s">
        <v>133</v>
      </c>
      <c r="C644" s="1">
        <v>2018</v>
      </c>
      <c r="D644" s="4" t="s">
        <v>162</v>
      </c>
      <c r="E644" s="5"/>
      <c r="F644" s="5"/>
      <c r="G644" s="5"/>
      <c r="H644" s="5"/>
      <c r="I644">
        <v>1.3</v>
      </c>
      <c r="J644" s="1">
        <v>0.5</v>
      </c>
      <c r="K644" s="1">
        <v>0.8</v>
      </c>
      <c r="L644" s="9">
        <v>0.32</v>
      </c>
      <c r="M644" s="9">
        <v>1.93</v>
      </c>
      <c r="N644" s="9">
        <v>3.66</v>
      </c>
      <c r="O644" s="9">
        <f>LN(358.79)</f>
        <v>5.8827372591162019</v>
      </c>
      <c r="P644" s="9">
        <v>0.9</v>
      </c>
      <c r="Q644" s="9">
        <v>15.772792940210264</v>
      </c>
      <c r="R644" s="9">
        <v>0.41699999999999998</v>
      </c>
      <c r="S644" s="9">
        <v>0.47184458888766478</v>
      </c>
    </row>
    <row r="645" spans="1:19" ht="15.6" x14ac:dyDescent="0.3">
      <c r="A645" s="1" t="s">
        <v>213</v>
      </c>
      <c r="B645" s="2" t="s">
        <v>133</v>
      </c>
      <c r="C645" s="1">
        <v>2019</v>
      </c>
      <c r="D645" s="4" t="s">
        <v>162</v>
      </c>
      <c r="E645" s="5"/>
      <c r="F645" s="5"/>
      <c r="G645" s="5"/>
      <c r="H645" s="5"/>
      <c r="I645">
        <v>1.3</v>
      </c>
      <c r="J645" s="1">
        <v>0.5</v>
      </c>
      <c r="K645" s="1">
        <v>0.8</v>
      </c>
      <c r="L645" s="9">
        <v>0.22</v>
      </c>
      <c r="M645" s="9">
        <v>0.74</v>
      </c>
      <c r="N645" s="9">
        <v>1.41</v>
      </c>
      <c r="O645" s="9">
        <f>LN(365.18)</f>
        <v>5.9003903827085873</v>
      </c>
      <c r="P645" s="12">
        <v>0.7</v>
      </c>
      <c r="Q645" s="9">
        <v>15.80698212698479</v>
      </c>
      <c r="R645" s="9">
        <v>0.38500000000000001</v>
      </c>
      <c r="S645" s="9">
        <v>0.47563335797967515</v>
      </c>
    </row>
    <row r="646" spans="1:19" ht="15.6" x14ac:dyDescent="0.3">
      <c r="A646" s="1" t="s">
        <v>213</v>
      </c>
      <c r="B646" s="2" t="s">
        <v>133</v>
      </c>
      <c r="C646" s="1">
        <v>2020</v>
      </c>
      <c r="D646" s="4" t="s">
        <v>162</v>
      </c>
      <c r="E646" s="5"/>
      <c r="F646" s="5"/>
      <c r="G646" s="5"/>
      <c r="H646" s="5"/>
      <c r="I646">
        <v>1.3</v>
      </c>
      <c r="J646" s="1">
        <v>0.5</v>
      </c>
      <c r="K646" s="1">
        <v>0.8</v>
      </c>
      <c r="L646" s="9">
        <v>0.13</v>
      </c>
      <c r="M646" s="9">
        <v>-1.49</v>
      </c>
      <c r="N646" s="9">
        <v>-2.94</v>
      </c>
      <c r="O646" s="9">
        <f>LN(337.46)</f>
        <v>5.8214469847701915</v>
      </c>
      <c r="P646" s="12">
        <v>-0.1</v>
      </c>
      <c r="Q646" s="9">
        <v>15.838793832549447</v>
      </c>
      <c r="R646" s="9">
        <v>0.46200000000000002</v>
      </c>
      <c r="S646" s="9">
        <v>0.49261243646137387</v>
      </c>
    </row>
    <row r="647" spans="1:19" ht="15.6" x14ac:dyDescent="0.3">
      <c r="A647" s="1" t="s">
        <v>213</v>
      </c>
      <c r="B647" s="2" t="s">
        <v>133</v>
      </c>
      <c r="C647" s="1">
        <v>2021</v>
      </c>
      <c r="D647" s="4" t="s">
        <v>162</v>
      </c>
      <c r="E647" s="5">
        <v>72.2</v>
      </c>
      <c r="F647" s="5">
        <v>58.7</v>
      </c>
      <c r="G647" s="5">
        <v>81.8</v>
      </c>
      <c r="H647" s="5">
        <v>74.599999999999994</v>
      </c>
      <c r="I647">
        <v>1.3</v>
      </c>
      <c r="J647" s="1">
        <v>0.5</v>
      </c>
      <c r="K647" s="1">
        <v>0.8</v>
      </c>
      <c r="L647" s="9">
        <v>0.17</v>
      </c>
      <c r="M647" s="9">
        <v>0.49</v>
      </c>
      <c r="N647" s="9">
        <v>0.97</v>
      </c>
      <c r="O647" s="9">
        <f>LN(373.78)</f>
        <v>5.9236673890421567</v>
      </c>
      <c r="P647" s="12">
        <v>2.5</v>
      </c>
      <c r="Q647" s="9">
        <v>15.826074042994254</v>
      </c>
      <c r="R647" s="9">
        <v>0.46200000000000002</v>
      </c>
      <c r="S647" s="9">
        <v>0.49873170812708467</v>
      </c>
    </row>
    <row r="648" spans="1:19" ht="15.6" x14ac:dyDescent="0.3">
      <c r="A648" s="1" t="s">
        <v>213</v>
      </c>
      <c r="B648" s="2" t="s">
        <v>133</v>
      </c>
      <c r="C648" s="1">
        <v>2022</v>
      </c>
      <c r="D648" s="4" t="s">
        <v>162</v>
      </c>
      <c r="E648" s="5">
        <v>75.5</v>
      </c>
      <c r="F648" s="5">
        <v>62.1</v>
      </c>
      <c r="G648" s="5">
        <v>84.6</v>
      </c>
      <c r="H648" s="5">
        <v>78.599999999999994</v>
      </c>
      <c r="I648">
        <v>1.3</v>
      </c>
      <c r="J648" s="1">
        <v>0.5</v>
      </c>
      <c r="K648" s="1">
        <v>0.8</v>
      </c>
      <c r="L648" s="9">
        <v>0.08</v>
      </c>
      <c r="M648" s="9">
        <v>0.71</v>
      </c>
      <c r="N648" s="9">
        <v>1.38</v>
      </c>
      <c r="O648" s="9">
        <f>LN(407.61)</f>
        <v>6.0103108349043417</v>
      </c>
      <c r="P648" s="12">
        <v>3.4</v>
      </c>
      <c r="Q648" s="9">
        <v>15.726107913705279</v>
      </c>
      <c r="R648" s="9">
        <v>0.53800000000000003</v>
      </c>
      <c r="S648" s="9">
        <v>0.48535042423374203</v>
      </c>
    </row>
    <row r="649" spans="1:19" ht="15.6" x14ac:dyDescent="0.3">
      <c r="A649" s="1" t="s">
        <v>213</v>
      </c>
      <c r="B649" s="2" t="s">
        <v>133</v>
      </c>
      <c r="C649" s="1">
        <v>2023</v>
      </c>
      <c r="D649" s="4" t="s">
        <v>162</v>
      </c>
      <c r="E649" s="5">
        <v>72.2</v>
      </c>
      <c r="F649" s="5">
        <v>58.7</v>
      </c>
      <c r="G649" s="5">
        <v>81.8</v>
      </c>
      <c r="H649" s="5">
        <v>74.599999999999994</v>
      </c>
      <c r="I649">
        <v>1.3</v>
      </c>
      <c r="J649" s="1">
        <v>0.5</v>
      </c>
      <c r="K649" s="1">
        <v>0.8</v>
      </c>
      <c r="L649" s="9">
        <v>0.12</v>
      </c>
      <c r="M649" s="9">
        <v>0.82</v>
      </c>
      <c r="N649" s="9">
        <v>1.52</v>
      </c>
      <c r="O649" s="9">
        <f>LN(399.71)</f>
        <v>5.9907392841683871</v>
      </c>
      <c r="P649" s="12">
        <v>2.5</v>
      </c>
      <c r="Q649" s="9">
        <v>15.658819555415853</v>
      </c>
      <c r="R649" s="9">
        <v>0.61499999999999999</v>
      </c>
      <c r="S649" s="9">
        <v>0.46002284481230277</v>
      </c>
    </row>
    <row r="650" spans="1:19" ht="15.6" x14ac:dyDescent="0.3">
      <c r="A650" s="13" t="s">
        <v>214</v>
      </c>
      <c r="B650" s="2" t="s">
        <v>134</v>
      </c>
      <c r="C650" s="1">
        <v>2016</v>
      </c>
      <c r="D650" s="4" t="s">
        <v>160</v>
      </c>
      <c r="E650" s="5"/>
      <c r="F650" s="5"/>
      <c r="G650" s="5"/>
      <c r="H650" s="5"/>
      <c r="I650">
        <v>0</v>
      </c>
      <c r="J650" s="1">
        <v>0</v>
      </c>
      <c r="K650" s="1">
        <v>0</v>
      </c>
      <c r="L650" s="9">
        <v>0.33</v>
      </c>
      <c r="M650" s="9">
        <v>3.16</v>
      </c>
      <c r="N650" s="9">
        <v>7.09</v>
      </c>
      <c r="O650" s="9">
        <f>LN(301.26)</f>
        <v>5.7079736792746694</v>
      </c>
      <c r="P650" s="12">
        <v>2.1</v>
      </c>
      <c r="Q650" s="9">
        <v>15.233264098929817</v>
      </c>
      <c r="R650" s="9">
        <v>0.4</v>
      </c>
      <c r="S650" s="9">
        <v>0.55363668671994559</v>
      </c>
    </row>
    <row r="651" spans="1:19" ht="15.6" x14ac:dyDescent="0.3">
      <c r="A651" s="1" t="s">
        <v>214</v>
      </c>
      <c r="B651" s="2" t="s">
        <v>134</v>
      </c>
      <c r="C651" s="1">
        <v>2017</v>
      </c>
      <c r="D651" s="4" t="s">
        <v>160</v>
      </c>
      <c r="E651" s="5"/>
      <c r="F651" s="5"/>
      <c r="G651" s="5"/>
      <c r="H651" s="5"/>
      <c r="I651">
        <v>0.2</v>
      </c>
      <c r="J651" s="1">
        <v>0</v>
      </c>
      <c r="K651" s="1">
        <v>0.2</v>
      </c>
      <c r="L651" s="9">
        <v>0.41</v>
      </c>
      <c r="M651" s="9">
        <v>3.22</v>
      </c>
      <c r="N651" s="9">
        <v>7.37</v>
      </c>
      <c r="O651" s="9">
        <f>LN(319.11)</f>
        <v>5.7655358709316831</v>
      </c>
      <c r="P651" s="9">
        <v>3.9</v>
      </c>
      <c r="Q651" s="9">
        <v>15.384535558858932</v>
      </c>
      <c r="R651" s="9">
        <v>0.4</v>
      </c>
      <c r="S651" s="9">
        <v>0.56359939391465663</v>
      </c>
    </row>
    <row r="652" spans="1:19" ht="15.6" x14ac:dyDescent="0.3">
      <c r="A652" s="1" t="s">
        <v>214</v>
      </c>
      <c r="B652" s="2" t="s">
        <v>134</v>
      </c>
      <c r="C652" s="1">
        <v>2018</v>
      </c>
      <c r="D652" s="4" t="s">
        <v>160</v>
      </c>
      <c r="E652" s="5"/>
      <c r="F652" s="5"/>
      <c r="G652" s="5"/>
      <c r="H652" s="5"/>
      <c r="I652">
        <v>1.1000000000000001</v>
      </c>
      <c r="J652" s="1">
        <v>0.5</v>
      </c>
      <c r="K652" s="1">
        <v>0.6</v>
      </c>
      <c r="L652" s="9">
        <v>0.33</v>
      </c>
      <c r="M652" s="9">
        <v>2.96</v>
      </c>
      <c r="N652" s="9">
        <v>7.19</v>
      </c>
      <c r="O652" s="9">
        <f>LN(358.79)</f>
        <v>5.8827372591162019</v>
      </c>
      <c r="P652" s="9">
        <v>0.9</v>
      </c>
      <c r="Q652" s="9">
        <v>15.476183833107918</v>
      </c>
      <c r="R652" s="9">
        <v>0.4</v>
      </c>
      <c r="S652" s="9">
        <v>0.58751897497422023</v>
      </c>
    </row>
    <row r="653" spans="1:19" ht="15.6" x14ac:dyDescent="0.3">
      <c r="A653" s="1" t="s">
        <v>214</v>
      </c>
      <c r="B653" s="2" t="s">
        <v>134</v>
      </c>
      <c r="C653" s="1">
        <v>2019</v>
      </c>
      <c r="D653" s="4" t="s">
        <v>160</v>
      </c>
      <c r="E653" s="5"/>
      <c r="F653" s="5"/>
      <c r="G653" s="5"/>
      <c r="H653" s="5"/>
      <c r="I653">
        <v>1.1000000000000001</v>
      </c>
      <c r="J653" s="1">
        <v>0.5</v>
      </c>
      <c r="K653" s="1">
        <v>0.6</v>
      </c>
      <c r="L653" s="9">
        <v>0.41</v>
      </c>
      <c r="M653" s="9">
        <v>3.3</v>
      </c>
      <c r="N653" s="9">
        <v>7.52</v>
      </c>
      <c r="O653" s="9">
        <f>LN(365.18)</f>
        <v>5.9003903827085873</v>
      </c>
      <c r="P653" s="12">
        <v>0.7</v>
      </c>
      <c r="Q653" s="9">
        <v>15.474154928857693</v>
      </c>
      <c r="R653" s="9">
        <v>0.4</v>
      </c>
      <c r="S653" s="9">
        <v>0.56111893219318587</v>
      </c>
    </row>
    <row r="654" spans="1:19" ht="15.6" x14ac:dyDescent="0.3">
      <c r="A654" s="1" t="s">
        <v>214</v>
      </c>
      <c r="B654" s="2" t="s">
        <v>134</v>
      </c>
      <c r="C654" s="1">
        <v>2020</v>
      </c>
      <c r="D654" s="4" t="s">
        <v>160</v>
      </c>
      <c r="E654" s="5"/>
      <c r="F654" s="5"/>
      <c r="G654" s="5"/>
      <c r="H654" s="5"/>
      <c r="I654">
        <v>1.1000000000000001</v>
      </c>
      <c r="J654" s="1">
        <v>0.5</v>
      </c>
      <c r="K654" s="1">
        <v>0.6</v>
      </c>
      <c r="L654" s="9">
        <v>0.38</v>
      </c>
      <c r="M654" s="9">
        <v>1.69</v>
      </c>
      <c r="N654" s="9">
        <v>3.47</v>
      </c>
      <c r="O654" s="9">
        <f>LN(337.46)</f>
        <v>5.8214469847701915</v>
      </c>
      <c r="P654" s="12">
        <v>-0.1</v>
      </c>
      <c r="Q654" s="9">
        <v>15.474919460927389</v>
      </c>
      <c r="R654" s="9">
        <v>0.4</v>
      </c>
      <c r="S654" s="9">
        <v>0.51118820943559451</v>
      </c>
    </row>
    <row r="655" spans="1:19" ht="15.6" x14ac:dyDescent="0.3">
      <c r="A655" s="1" t="s">
        <v>214</v>
      </c>
      <c r="B655" s="2" t="s">
        <v>134</v>
      </c>
      <c r="C655" s="1">
        <v>2021</v>
      </c>
      <c r="D655" s="4" t="s">
        <v>160</v>
      </c>
      <c r="E655" s="5">
        <v>66.2</v>
      </c>
      <c r="F655" s="5">
        <v>52.6</v>
      </c>
      <c r="G655" s="5">
        <v>83.9</v>
      </c>
      <c r="H655" s="5">
        <v>61.1</v>
      </c>
      <c r="I655">
        <v>1.1000000000000001</v>
      </c>
      <c r="J655" s="1">
        <v>0.5</v>
      </c>
      <c r="K655" s="1">
        <v>0.6</v>
      </c>
      <c r="L655" s="9">
        <v>0.34</v>
      </c>
      <c r="M655" s="9">
        <v>10.42</v>
      </c>
      <c r="N655" s="9">
        <v>19.91</v>
      </c>
      <c r="O655" s="9">
        <f>LN(373.78)</f>
        <v>5.9236673890421567</v>
      </c>
      <c r="P655" s="12">
        <v>2.5</v>
      </c>
      <c r="Q655" s="9">
        <v>15.608398723308483</v>
      </c>
      <c r="R655" s="9">
        <v>0.5</v>
      </c>
      <c r="S655" s="9">
        <v>0.47687195260818782</v>
      </c>
    </row>
    <row r="656" spans="1:19" ht="15.6" x14ac:dyDescent="0.3">
      <c r="A656" s="1" t="s">
        <v>214</v>
      </c>
      <c r="B656" s="2" t="s">
        <v>134</v>
      </c>
      <c r="C656" s="1">
        <v>2022</v>
      </c>
      <c r="D656" s="4" t="s">
        <v>160</v>
      </c>
      <c r="E656" s="5">
        <v>75.400000000000006</v>
      </c>
      <c r="F656" s="5">
        <v>77.900000000000006</v>
      </c>
      <c r="G656" s="5">
        <v>89.2</v>
      </c>
      <c r="H656" s="5">
        <v>53</v>
      </c>
      <c r="I656">
        <v>1.6</v>
      </c>
      <c r="J656" s="1">
        <v>1</v>
      </c>
      <c r="K656" s="1">
        <v>0.6</v>
      </c>
      <c r="L656" s="9">
        <v>0.31</v>
      </c>
      <c r="M656" s="9">
        <v>2.37</v>
      </c>
      <c r="N656" s="9">
        <v>4.5599999999999996</v>
      </c>
      <c r="O656" s="9">
        <f>LN(407.61)</f>
        <v>6.0103108349043417</v>
      </c>
      <c r="P656" s="12">
        <v>3.4</v>
      </c>
      <c r="Q656" s="9">
        <v>15.591488145852731</v>
      </c>
      <c r="R656" s="9">
        <v>0.5</v>
      </c>
      <c r="S656" s="9">
        <v>0.48005774415802638</v>
      </c>
    </row>
    <row r="657" spans="1:19" ht="15.6" x14ac:dyDescent="0.3">
      <c r="A657" s="1" t="s">
        <v>214</v>
      </c>
      <c r="B657" s="2" t="s">
        <v>134</v>
      </c>
      <c r="C657" s="1">
        <v>2023</v>
      </c>
      <c r="D657" s="4" t="s">
        <v>160</v>
      </c>
      <c r="E657" s="5">
        <v>66.2</v>
      </c>
      <c r="F657" s="5">
        <v>52.6</v>
      </c>
      <c r="G657" s="5">
        <v>83.9</v>
      </c>
      <c r="H657" s="5">
        <v>61.1</v>
      </c>
      <c r="I657">
        <v>1.6</v>
      </c>
      <c r="J657" s="1">
        <v>1</v>
      </c>
      <c r="K657" s="1">
        <v>0.6</v>
      </c>
      <c r="L657" s="9">
        <v>0.4</v>
      </c>
      <c r="M657" s="9">
        <v>2.4900000000000002</v>
      </c>
      <c r="N657" s="9">
        <v>4.75</v>
      </c>
      <c r="O657" s="9">
        <f>LN(399.71)</f>
        <v>5.9907392841683871</v>
      </c>
      <c r="P657" s="12">
        <v>2.5</v>
      </c>
      <c r="Q657" s="9">
        <v>15.644144400097368</v>
      </c>
      <c r="R657" s="9">
        <v>0.5</v>
      </c>
      <c r="S657" s="9">
        <v>0.47521579419459964</v>
      </c>
    </row>
    <row r="658" spans="1:19" ht="15.6" x14ac:dyDescent="0.3">
      <c r="A658" s="13" t="s">
        <v>215</v>
      </c>
      <c r="B658" s="2" t="s">
        <v>135</v>
      </c>
      <c r="C658" s="1">
        <v>2016</v>
      </c>
      <c r="D658" s="4" t="s">
        <v>163</v>
      </c>
      <c r="E658" s="5">
        <v>50.5</v>
      </c>
      <c r="F658" s="5">
        <v>36.5</v>
      </c>
      <c r="G658" s="5">
        <v>68.400000000000006</v>
      </c>
      <c r="H658" s="5">
        <v>51.1</v>
      </c>
      <c r="I658">
        <v>0.4</v>
      </c>
      <c r="J658" s="1">
        <v>0</v>
      </c>
      <c r="K658" s="1">
        <v>0.4</v>
      </c>
      <c r="L658" s="9">
        <v>1.38</v>
      </c>
      <c r="M658" s="9">
        <v>7.73</v>
      </c>
      <c r="N658" s="9">
        <v>25.02</v>
      </c>
      <c r="O658" s="9">
        <f>LN(301.26)</f>
        <v>5.7079736792746694</v>
      </c>
      <c r="P658" s="12">
        <v>2.1</v>
      </c>
      <c r="Q658" s="9">
        <v>12.782860151973916</v>
      </c>
      <c r="R658" s="9">
        <v>0.55600000000000005</v>
      </c>
      <c r="S658" s="9">
        <v>0.69086282726042092</v>
      </c>
    </row>
    <row r="659" spans="1:19" ht="15.6" x14ac:dyDescent="0.3">
      <c r="A659" s="1" t="s">
        <v>215</v>
      </c>
      <c r="B659" s="2" t="s">
        <v>135</v>
      </c>
      <c r="C659" s="1">
        <v>2017</v>
      </c>
      <c r="D659" s="4" t="s">
        <v>163</v>
      </c>
      <c r="E659" s="5">
        <v>48</v>
      </c>
      <c r="F659" s="5">
        <v>34.1</v>
      </c>
      <c r="G659" s="5">
        <v>65.3</v>
      </c>
      <c r="H659" s="5">
        <v>49</v>
      </c>
      <c r="I659">
        <v>1.5</v>
      </c>
      <c r="J659" s="1">
        <v>0.5</v>
      </c>
      <c r="K659" s="1">
        <v>1</v>
      </c>
      <c r="L659" s="9">
        <v>1.79</v>
      </c>
      <c r="M659" s="9">
        <v>7.31</v>
      </c>
      <c r="N659" s="9">
        <v>24.32</v>
      </c>
      <c r="O659" s="9">
        <f>LN(319.11)</f>
        <v>5.7655358709316831</v>
      </c>
      <c r="P659" s="9">
        <v>3.9</v>
      </c>
      <c r="Q659" s="9">
        <v>13.00727570598792</v>
      </c>
      <c r="R659" s="9">
        <v>0.55600000000000005</v>
      </c>
      <c r="S659" s="9">
        <v>0.69947312204360435</v>
      </c>
    </row>
    <row r="660" spans="1:19" ht="15.6" x14ac:dyDescent="0.3">
      <c r="A660" s="1" t="s">
        <v>215</v>
      </c>
      <c r="B660" s="2" t="s">
        <v>135</v>
      </c>
      <c r="C660" s="1">
        <v>2018</v>
      </c>
      <c r="D660" s="4" t="s">
        <v>163</v>
      </c>
      <c r="E660" s="5">
        <v>41</v>
      </c>
      <c r="F660" s="5">
        <v>33.299999999999997</v>
      </c>
      <c r="G660" s="5">
        <v>64.099999999999994</v>
      </c>
      <c r="H660" s="5">
        <v>24.1</v>
      </c>
      <c r="I660">
        <v>1.5</v>
      </c>
      <c r="J660" s="1">
        <v>0.5</v>
      </c>
      <c r="K660" s="1">
        <v>1</v>
      </c>
      <c r="L660" s="9">
        <v>0.97</v>
      </c>
      <c r="M660" s="9">
        <v>8.17</v>
      </c>
      <c r="N660" s="9">
        <v>24.41</v>
      </c>
      <c r="O660" s="9">
        <f>LN(358.79)</f>
        <v>5.8827372591162019</v>
      </c>
      <c r="P660" s="9">
        <v>0.9</v>
      </c>
      <c r="Q660" s="9">
        <v>12.965026293044541</v>
      </c>
      <c r="R660" s="9">
        <v>0.6</v>
      </c>
      <c r="S660" s="9">
        <v>0.6653410048500964</v>
      </c>
    </row>
    <row r="661" spans="1:19" ht="15.6" x14ac:dyDescent="0.3">
      <c r="A661" s="1" t="s">
        <v>215</v>
      </c>
      <c r="B661" s="2" t="s">
        <v>135</v>
      </c>
      <c r="C661" s="1">
        <v>2019</v>
      </c>
      <c r="D661" s="4" t="s">
        <v>163</v>
      </c>
      <c r="E661" s="5">
        <v>41</v>
      </c>
      <c r="F661" s="5">
        <v>33</v>
      </c>
      <c r="G661" s="5">
        <v>63.6</v>
      </c>
      <c r="H661" s="5">
        <v>25.3</v>
      </c>
      <c r="I661">
        <v>1.5</v>
      </c>
      <c r="J661" s="1">
        <v>0.5</v>
      </c>
      <c r="K661" s="1">
        <v>1</v>
      </c>
      <c r="L661" s="9">
        <v>1.23</v>
      </c>
      <c r="M661" s="9">
        <v>6.46</v>
      </c>
      <c r="N661" s="9">
        <v>17.899999999999999</v>
      </c>
      <c r="O661" s="9">
        <f>LN(365.18)</f>
        <v>5.9003903827085873</v>
      </c>
      <c r="P661" s="12">
        <v>0.7</v>
      </c>
      <c r="Q661" s="9">
        <v>13.100665675588193</v>
      </c>
      <c r="R661" s="9">
        <v>0.6</v>
      </c>
      <c r="S661" s="9">
        <v>0.63918956481928102</v>
      </c>
    </row>
    <row r="662" spans="1:19" ht="15.6" x14ac:dyDescent="0.3">
      <c r="A662" s="1" t="s">
        <v>215</v>
      </c>
      <c r="B662" s="2" t="s">
        <v>135</v>
      </c>
      <c r="C662" s="1">
        <v>2020</v>
      </c>
      <c r="D662" s="4" t="s">
        <v>163</v>
      </c>
      <c r="E662" s="5">
        <v>46.6</v>
      </c>
      <c r="F662" s="5">
        <v>36.700000000000003</v>
      </c>
      <c r="G662" s="5">
        <v>58</v>
      </c>
      <c r="H662" s="5">
        <v>48.4</v>
      </c>
      <c r="I662">
        <v>1.5</v>
      </c>
      <c r="J662" s="1">
        <v>0.5</v>
      </c>
      <c r="K662" s="1">
        <v>1</v>
      </c>
      <c r="L662" s="9">
        <v>1.28</v>
      </c>
      <c r="M662" s="9">
        <v>3.82</v>
      </c>
      <c r="N662" s="9">
        <v>11.4</v>
      </c>
      <c r="O662" s="9">
        <f>LN(337.46)</f>
        <v>5.8214469847701915</v>
      </c>
      <c r="P662" s="12">
        <v>-0.1</v>
      </c>
      <c r="Q662" s="9">
        <v>13.071011133910893</v>
      </c>
      <c r="R662" s="9">
        <v>0.6</v>
      </c>
      <c r="S662" s="9">
        <v>0.6649591975948056</v>
      </c>
    </row>
    <row r="663" spans="1:19" ht="15.6" x14ac:dyDescent="0.3">
      <c r="A663" s="1" t="s">
        <v>215</v>
      </c>
      <c r="B663" s="2" t="s">
        <v>135</v>
      </c>
      <c r="C663" s="1">
        <v>2021</v>
      </c>
      <c r="D663" s="4" t="s">
        <v>163</v>
      </c>
      <c r="E663" s="5"/>
      <c r="F663" s="5"/>
      <c r="G663" s="5"/>
      <c r="H663" s="5"/>
      <c r="I663">
        <v>1.5</v>
      </c>
      <c r="J663" s="1">
        <v>0.5</v>
      </c>
      <c r="K663" s="1">
        <v>1</v>
      </c>
      <c r="L663" s="9">
        <v>1.08</v>
      </c>
      <c r="M663" s="9">
        <v>6.04</v>
      </c>
      <c r="N663" s="9">
        <v>15.71</v>
      </c>
      <c r="O663" s="9">
        <f>LN(373.78)</f>
        <v>5.9236673890421567</v>
      </c>
      <c r="P663" s="12">
        <v>2.5</v>
      </c>
      <c r="Q663" s="9">
        <v>13.008997571408361</v>
      </c>
      <c r="R663" s="9">
        <v>0.54500000000000004</v>
      </c>
      <c r="S663" s="9">
        <v>0.61550988772703241</v>
      </c>
    </row>
    <row r="664" spans="1:19" ht="15.6" x14ac:dyDescent="0.3">
      <c r="A664" s="1" t="s">
        <v>215</v>
      </c>
      <c r="B664" s="2" t="s">
        <v>135</v>
      </c>
      <c r="C664" s="1">
        <v>2022</v>
      </c>
      <c r="D664" s="4" t="s">
        <v>163</v>
      </c>
      <c r="E664" s="5"/>
      <c r="F664" s="5"/>
      <c r="G664" s="5"/>
      <c r="H664" s="5"/>
      <c r="I664">
        <v>1.5</v>
      </c>
      <c r="J664" s="1">
        <v>0.5</v>
      </c>
      <c r="K664" s="1">
        <v>1</v>
      </c>
      <c r="L664" s="9">
        <v>0.9</v>
      </c>
      <c r="M664" s="9">
        <v>6.05</v>
      </c>
      <c r="N664" s="9">
        <v>16.47</v>
      </c>
      <c r="O664" s="9">
        <f>LN(407.61)</f>
        <v>6.0103108349043417</v>
      </c>
      <c r="P664" s="12">
        <v>3.4</v>
      </c>
      <c r="Q664" s="9">
        <v>13.135666497215356</v>
      </c>
      <c r="R664" s="9">
        <v>0.54500000000000004</v>
      </c>
      <c r="S664" s="9">
        <v>0.63292585692407277</v>
      </c>
    </row>
    <row r="665" spans="1:19" ht="15.6" x14ac:dyDescent="0.3">
      <c r="A665" s="1" t="s">
        <v>215</v>
      </c>
      <c r="B665" s="2" t="s">
        <v>135</v>
      </c>
      <c r="C665" s="1">
        <v>2023</v>
      </c>
      <c r="D665" s="4" t="s">
        <v>163</v>
      </c>
      <c r="E665" s="5"/>
      <c r="F665" s="5"/>
      <c r="G665" s="5"/>
      <c r="H665" s="5"/>
      <c r="I665">
        <v>1.5</v>
      </c>
      <c r="J665" s="1">
        <v>0.5</v>
      </c>
      <c r="K665" s="1">
        <v>1</v>
      </c>
      <c r="L665" s="9">
        <v>0.81</v>
      </c>
      <c r="M665" s="9">
        <v>4.71</v>
      </c>
      <c r="N665" s="9">
        <v>16.27</v>
      </c>
      <c r="O665" s="9">
        <f>LN(399.71)</f>
        <v>5.9907392841683871</v>
      </c>
      <c r="P665" s="12">
        <v>2.5</v>
      </c>
      <c r="Q665" s="9">
        <v>13.41714121526182</v>
      </c>
      <c r="R665" s="9">
        <v>0.58299999999999996</v>
      </c>
      <c r="S665" s="9">
        <v>0.71066733788690728</v>
      </c>
    </row>
    <row r="666" spans="1:19" ht="15.6" x14ac:dyDescent="0.3">
      <c r="A666" s="13" t="s">
        <v>216</v>
      </c>
      <c r="B666" s="2" t="s">
        <v>136</v>
      </c>
      <c r="C666" s="1">
        <v>2016</v>
      </c>
      <c r="D666" s="4" t="s">
        <v>155</v>
      </c>
      <c r="E666" s="5"/>
      <c r="F666" s="5"/>
      <c r="G666" s="5"/>
      <c r="H666" s="5"/>
      <c r="I666">
        <v>0.5</v>
      </c>
      <c r="J666" s="1">
        <v>0.5</v>
      </c>
      <c r="K666" s="1">
        <v>0</v>
      </c>
      <c r="L666" s="9"/>
      <c r="M666" s="9">
        <v>2.5299999999999998</v>
      </c>
      <c r="N666" s="9">
        <v>25.35</v>
      </c>
      <c r="O666" s="9">
        <f>LN(301.26)</f>
        <v>5.7079736792746694</v>
      </c>
      <c r="P666" s="12">
        <v>2.1</v>
      </c>
      <c r="Q666" s="9">
        <v>14.291544716957979</v>
      </c>
      <c r="R666" s="9">
        <v>0.222</v>
      </c>
      <c r="S666" s="9">
        <v>0.9001253666882445</v>
      </c>
    </row>
    <row r="667" spans="1:19" ht="15.6" x14ac:dyDescent="0.3">
      <c r="A667" s="1" t="s">
        <v>216</v>
      </c>
      <c r="B667" s="2" t="s">
        <v>136</v>
      </c>
      <c r="C667" s="1">
        <v>2017</v>
      </c>
      <c r="D667" s="4" t="s">
        <v>155</v>
      </c>
      <c r="E667" s="5"/>
      <c r="F667" s="5"/>
      <c r="G667" s="5"/>
      <c r="H667" s="5"/>
      <c r="I667">
        <v>1.3</v>
      </c>
      <c r="J667" s="1">
        <v>0.5</v>
      </c>
      <c r="K667" s="1">
        <v>0.8</v>
      </c>
      <c r="L667" s="9"/>
      <c r="M667" s="9">
        <v>2.69</v>
      </c>
      <c r="N667" s="9">
        <v>25.38</v>
      </c>
      <c r="O667" s="9">
        <f>LN(319.11)</f>
        <v>5.7655358709316831</v>
      </c>
      <c r="P667" s="9">
        <v>3.9</v>
      </c>
      <c r="Q667" s="9">
        <v>14.459308868307627</v>
      </c>
      <c r="R667" s="9">
        <v>0.222</v>
      </c>
      <c r="S667" s="9">
        <v>0.89416441053150242</v>
      </c>
    </row>
    <row r="668" spans="1:19" ht="15.6" x14ac:dyDescent="0.3">
      <c r="A668" s="1" t="s">
        <v>216</v>
      </c>
      <c r="B668" s="2" t="s">
        <v>136</v>
      </c>
      <c r="C668" s="1">
        <v>2018</v>
      </c>
      <c r="D668" s="4" t="s">
        <v>155</v>
      </c>
      <c r="E668" s="5"/>
      <c r="F668" s="5"/>
      <c r="G668" s="5"/>
      <c r="H668" s="5"/>
      <c r="I668">
        <v>1.3</v>
      </c>
      <c r="J668" s="1">
        <v>0.5</v>
      </c>
      <c r="K668" s="1">
        <v>0.8</v>
      </c>
      <c r="L668" s="9"/>
      <c r="M668" s="9">
        <v>3.23</v>
      </c>
      <c r="N668" s="9">
        <v>24.66</v>
      </c>
      <c r="O668" s="9">
        <f>LN(358.79)</f>
        <v>5.8827372591162019</v>
      </c>
      <c r="P668" s="9">
        <v>0.9</v>
      </c>
      <c r="Q668" s="9">
        <v>14.357788336080029</v>
      </c>
      <c r="R668" s="9">
        <v>0.3</v>
      </c>
      <c r="S668" s="9">
        <v>0.86891948462719193</v>
      </c>
    </row>
    <row r="669" spans="1:19" ht="15.6" x14ac:dyDescent="0.3">
      <c r="A669" s="1" t="s">
        <v>216</v>
      </c>
      <c r="B669" s="2" t="s">
        <v>136</v>
      </c>
      <c r="C669" s="1">
        <v>2019</v>
      </c>
      <c r="D669" s="4" t="s">
        <v>155</v>
      </c>
      <c r="E669" s="5"/>
      <c r="F669" s="5"/>
      <c r="G669" s="5"/>
      <c r="H669" s="5"/>
      <c r="I669">
        <v>1.3</v>
      </c>
      <c r="J669" s="1">
        <v>0.5</v>
      </c>
      <c r="K669" s="1">
        <v>0.8</v>
      </c>
      <c r="L669" s="9"/>
      <c r="M669" s="9">
        <v>3.29</v>
      </c>
      <c r="N669" s="9">
        <v>25.26</v>
      </c>
      <c r="O669" s="9">
        <f>LN(365.18)</f>
        <v>5.9003903827085873</v>
      </c>
      <c r="P669" s="12">
        <v>0.7</v>
      </c>
      <c r="Q669" s="9">
        <v>14.513957669047675</v>
      </c>
      <c r="R669" s="9">
        <v>0.36399999999999999</v>
      </c>
      <c r="S669" s="9">
        <v>0.86977252878205213</v>
      </c>
    </row>
    <row r="670" spans="1:19" ht="15.6" x14ac:dyDescent="0.3">
      <c r="A670" s="1" t="s">
        <v>216</v>
      </c>
      <c r="B670" s="2" t="s">
        <v>136</v>
      </c>
      <c r="C670" s="1">
        <v>2020</v>
      </c>
      <c r="D670" s="4" t="s">
        <v>155</v>
      </c>
      <c r="E670" s="5"/>
      <c r="F670" s="5"/>
      <c r="G670" s="5"/>
      <c r="H670" s="5"/>
      <c r="I670">
        <v>1.3</v>
      </c>
      <c r="J670" s="1">
        <v>0.5</v>
      </c>
      <c r="K670" s="1">
        <v>0.8</v>
      </c>
      <c r="L670" s="9"/>
      <c r="M670" s="9">
        <v>3.29</v>
      </c>
      <c r="N670" s="9">
        <v>23.52</v>
      </c>
      <c r="O670" s="9">
        <f>LN(337.46)</f>
        <v>5.8214469847701915</v>
      </c>
      <c r="P670" s="12">
        <v>-0.1</v>
      </c>
      <c r="Q670" s="9">
        <v>14.654630786766681</v>
      </c>
      <c r="R670" s="9">
        <v>0.41699999999999998</v>
      </c>
      <c r="S670" s="9">
        <v>0.86002774020990957</v>
      </c>
    </row>
    <row r="671" spans="1:19" ht="15.6" x14ac:dyDescent="0.3">
      <c r="A671" s="1" t="s">
        <v>216</v>
      </c>
      <c r="B671" s="2" t="s">
        <v>136</v>
      </c>
      <c r="C671" s="1">
        <v>2021</v>
      </c>
      <c r="D671" s="4" t="s">
        <v>155</v>
      </c>
      <c r="E671" s="5">
        <v>47</v>
      </c>
      <c r="F671" s="5">
        <v>22</v>
      </c>
      <c r="G671" s="5">
        <v>38.4</v>
      </c>
      <c r="H671" s="5">
        <v>70.7</v>
      </c>
      <c r="I671">
        <v>1.3</v>
      </c>
      <c r="J671" s="1">
        <v>0.5</v>
      </c>
      <c r="K671" s="1">
        <v>0.8</v>
      </c>
      <c r="L671" s="9"/>
      <c r="M671" s="9">
        <v>3.52</v>
      </c>
      <c r="N671" s="9">
        <v>22.57</v>
      </c>
      <c r="O671" s="9">
        <f>LN(373.78)</f>
        <v>5.9236673890421567</v>
      </c>
      <c r="P671" s="12">
        <v>2.5</v>
      </c>
      <c r="Q671" s="9">
        <v>14.675766244783427</v>
      </c>
      <c r="R671" s="9">
        <v>0.41699999999999998</v>
      </c>
      <c r="S671" s="9">
        <v>0.844040333958748</v>
      </c>
    </row>
    <row r="672" spans="1:19" ht="15.6" x14ac:dyDescent="0.3">
      <c r="A672" s="1" t="s">
        <v>216</v>
      </c>
      <c r="B672" s="2" t="s">
        <v>136</v>
      </c>
      <c r="C672" s="1">
        <v>2022</v>
      </c>
      <c r="D672" s="4" t="s">
        <v>155</v>
      </c>
      <c r="E672" s="5">
        <v>58.3</v>
      </c>
      <c r="F672" s="5">
        <v>41.2</v>
      </c>
      <c r="G672" s="5">
        <v>42.3</v>
      </c>
      <c r="H672" s="5">
        <v>92.3</v>
      </c>
      <c r="I672">
        <v>1.5</v>
      </c>
      <c r="J672" s="1">
        <v>0.5</v>
      </c>
      <c r="K672" s="1">
        <v>1</v>
      </c>
      <c r="L672" s="9"/>
      <c r="M672" s="9">
        <v>2.33</v>
      </c>
      <c r="N672" s="9">
        <v>22.07</v>
      </c>
      <c r="O672" s="9">
        <f>LN(407.61)</f>
        <v>6.0103108349043417</v>
      </c>
      <c r="P672" s="12">
        <v>3.4</v>
      </c>
      <c r="Q672" s="9">
        <v>14.67422005721145</v>
      </c>
      <c r="R672" s="9">
        <v>0.41699999999999998</v>
      </c>
      <c r="S672" s="9">
        <v>0.89427413009461831</v>
      </c>
    </row>
    <row r="673" spans="1:19" ht="15.6" x14ac:dyDescent="0.3">
      <c r="A673" s="1" t="s">
        <v>216</v>
      </c>
      <c r="B673" s="2" t="s">
        <v>136</v>
      </c>
      <c r="C673" s="1">
        <v>2023</v>
      </c>
      <c r="D673" s="4" t="s">
        <v>155</v>
      </c>
      <c r="E673" s="5">
        <v>47</v>
      </c>
      <c r="F673" s="5">
        <v>22</v>
      </c>
      <c r="G673" s="5">
        <v>38.4</v>
      </c>
      <c r="H673" s="5">
        <v>70.7</v>
      </c>
      <c r="I673">
        <v>1.3</v>
      </c>
      <c r="J673" s="1">
        <v>0.5</v>
      </c>
      <c r="K673" s="1">
        <v>0.8</v>
      </c>
      <c r="L673" s="9"/>
      <c r="M673" s="9"/>
      <c r="N673" s="9"/>
      <c r="O673" s="9">
        <f>LN(399.71)</f>
        <v>5.9907392841683871</v>
      </c>
      <c r="P673" s="12">
        <v>2.5</v>
      </c>
      <c r="Q673" s="9"/>
      <c r="R673" s="9">
        <v>0.41699999999999998</v>
      </c>
      <c r="S673" s="9"/>
    </row>
    <row r="674" spans="1:19" ht="15.6" x14ac:dyDescent="0.3">
      <c r="A674" s="13" t="s">
        <v>217</v>
      </c>
      <c r="B674" s="2" t="s">
        <v>137</v>
      </c>
      <c r="C674" s="1">
        <v>2016</v>
      </c>
      <c r="D674" s="4" t="s">
        <v>162</v>
      </c>
      <c r="E674" s="5"/>
      <c r="F674" s="5"/>
      <c r="G674" s="5"/>
      <c r="H674" s="5"/>
      <c r="I674">
        <v>0</v>
      </c>
      <c r="J674" s="1">
        <v>0</v>
      </c>
      <c r="K674" s="1">
        <v>0</v>
      </c>
      <c r="L674" s="9">
        <v>0.09</v>
      </c>
      <c r="M674" s="9">
        <v>-3.28</v>
      </c>
      <c r="N674" s="9">
        <v>-5.58</v>
      </c>
      <c r="O674" s="9">
        <f>LN(301.26)</f>
        <v>5.7079736792746694</v>
      </c>
      <c r="P674" s="12">
        <v>2.1</v>
      </c>
      <c r="Q674" s="9">
        <v>11.111432457614464</v>
      </c>
      <c r="R674" s="9">
        <v>0.25</v>
      </c>
      <c r="S674" s="9">
        <v>0.41324030359170499</v>
      </c>
    </row>
    <row r="675" spans="1:19" ht="15.6" x14ac:dyDescent="0.3">
      <c r="A675" s="1" t="s">
        <v>217</v>
      </c>
      <c r="B675" s="2" t="s">
        <v>137</v>
      </c>
      <c r="C675" s="1">
        <v>2017</v>
      </c>
      <c r="D675" s="4" t="s">
        <v>162</v>
      </c>
      <c r="E675" s="5"/>
      <c r="F675" s="5"/>
      <c r="G675" s="5"/>
      <c r="H675" s="5"/>
      <c r="I675">
        <v>0</v>
      </c>
      <c r="J675" s="1">
        <v>0</v>
      </c>
      <c r="K675" s="1">
        <v>0</v>
      </c>
      <c r="L675" s="9">
        <v>0.24</v>
      </c>
      <c r="M675" s="9">
        <v>-4.04</v>
      </c>
      <c r="N675" s="9">
        <v>-7.18</v>
      </c>
      <c r="O675" s="9">
        <f>LN(319.11)</f>
        <v>5.7655358709316831</v>
      </c>
      <c r="P675" s="9">
        <v>3.9</v>
      </c>
      <c r="Q675" s="9">
        <v>11.100692506541325</v>
      </c>
      <c r="R675" s="9">
        <v>0.222</v>
      </c>
      <c r="S675" s="9">
        <v>0.43724421221136567</v>
      </c>
    </row>
    <row r="676" spans="1:19" ht="15.6" x14ac:dyDescent="0.3">
      <c r="A676" s="1" t="s">
        <v>217</v>
      </c>
      <c r="B676" s="2" t="s">
        <v>137</v>
      </c>
      <c r="C676" s="1">
        <v>2018</v>
      </c>
      <c r="D676" s="4" t="s">
        <v>162</v>
      </c>
      <c r="E676" s="5"/>
      <c r="F676" s="5"/>
      <c r="G676" s="5"/>
      <c r="H676" s="5"/>
      <c r="I676">
        <v>1.3</v>
      </c>
      <c r="J676" s="1">
        <v>0.5</v>
      </c>
      <c r="K676" s="1">
        <v>0.8</v>
      </c>
      <c r="L676" s="9">
        <v>0.28000000000000003</v>
      </c>
      <c r="M676" s="9">
        <v>-0.21</v>
      </c>
      <c r="N676" s="9">
        <v>-0.37</v>
      </c>
      <c r="O676" s="9">
        <f>LN(358.79)</f>
        <v>5.8827372591162019</v>
      </c>
      <c r="P676" s="9">
        <v>0.9</v>
      </c>
      <c r="Q676" s="9">
        <v>11.156121941336909</v>
      </c>
      <c r="R676" s="9">
        <v>0.3</v>
      </c>
      <c r="S676" s="9">
        <v>0.43314140389478645</v>
      </c>
    </row>
    <row r="677" spans="1:19" ht="15.6" x14ac:dyDescent="0.3">
      <c r="A677" s="1" t="s">
        <v>217</v>
      </c>
      <c r="B677" s="2" t="s">
        <v>137</v>
      </c>
      <c r="C677" s="1">
        <v>2019</v>
      </c>
      <c r="D677" s="4" t="s">
        <v>162</v>
      </c>
      <c r="E677" s="5"/>
      <c r="F677" s="5"/>
      <c r="G677" s="5"/>
      <c r="H677" s="5"/>
      <c r="I677">
        <v>2</v>
      </c>
      <c r="J677" s="1">
        <v>1</v>
      </c>
      <c r="K677" s="1">
        <v>1</v>
      </c>
      <c r="L677" s="9">
        <v>0.12</v>
      </c>
      <c r="M677" s="9">
        <v>-5.51</v>
      </c>
      <c r="N677" s="9">
        <v>-10.38</v>
      </c>
      <c r="O677" s="9">
        <f>LN(365.18)</f>
        <v>5.9003903827085873</v>
      </c>
      <c r="P677" s="12">
        <v>0.7</v>
      </c>
      <c r="Q677" s="9">
        <v>11.128952732200162</v>
      </c>
      <c r="R677" s="9">
        <v>0.27300000000000002</v>
      </c>
      <c r="S677" s="9">
        <v>0.46901563532261614</v>
      </c>
    </row>
    <row r="678" spans="1:19" ht="15.6" x14ac:dyDescent="0.3">
      <c r="A678" s="1" t="s">
        <v>217</v>
      </c>
      <c r="B678" s="2" t="s">
        <v>137</v>
      </c>
      <c r="C678" s="1">
        <v>2020</v>
      </c>
      <c r="D678" s="4" t="s">
        <v>162</v>
      </c>
      <c r="E678" s="5"/>
      <c r="F678" s="5"/>
      <c r="G678" s="5"/>
      <c r="H678" s="5"/>
      <c r="I678">
        <v>2</v>
      </c>
      <c r="J678" s="1">
        <v>1</v>
      </c>
      <c r="K678" s="1">
        <v>1</v>
      </c>
      <c r="L678" s="9">
        <v>0.15</v>
      </c>
      <c r="M678" s="9">
        <v>-6.32</v>
      </c>
      <c r="N678" s="9">
        <v>-10.88</v>
      </c>
      <c r="O678" s="9">
        <f>LN(337.46)</f>
        <v>5.8214469847701915</v>
      </c>
      <c r="P678" s="12">
        <v>-0.1</v>
      </c>
      <c r="Q678" s="9">
        <v>11.057282229917783</v>
      </c>
      <c r="R678" s="9">
        <v>0.27300000000000002</v>
      </c>
      <c r="S678" s="9">
        <v>0.41946880323008012</v>
      </c>
    </row>
    <row r="679" spans="1:19" ht="15.6" x14ac:dyDescent="0.3">
      <c r="A679" s="1" t="s">
        <v>217</v>
      </c>
      <c r="B679" s="2" t="s">
        <v>137</v>
      </c>
      <c r="C679" s="1">
        <v>2021</v>
      </c>
      <c r="D679" s="4" t="s">
        <v>162</v>
      </c>
      <c r="E679" s="5"/>
      <c r="F679" s="5"/>
      <c r="G679" s="5"/>
      <c r="H679" s="5"/>
      <c r="I679">
        <v>1.8</v>
      </c>
      <c r="J679" s="1">
        <v>1</v>
      </c>
      <c r="K679" s="1">
        <v>0.8</v>
      </c>
      <c r="L679" s="9">
        <v>0.85</v>
      </c>
      <c r="M679" s="9">
        <v>-4.9800000000000004</v>
      </c>
      <c r="N679" s="9">
        <v>-8.08</v>
      </c>
      <c r="O679" s="9">
        <f>LN(373.78)</f>
        <v>5.9236673890421567</v>
      </c>
      <c r="P679" s="12">
        <v>2.5</v>
      </c>
      <c r="Q679" s="9">
        <v>11.10205075129452</v>
      </c>
      <c r="R679" s="9">
        <v>0.33300000000000002</v>
      </c>
      <c r="S679" s="9">
        <v>0.38376038728942646</v>
      </c>
    </row>
    <row r="680" spans="1:19" ht="15.6" x14ac:dyDescent="0.3">
      <c r="A680" s="1" t="s">
        <v>217</v>
      </c>
      <c r="B680" s="2" t="s">
        <v>137</v>
      </c>
      <c r="C680" s="1">
        <v>2022</v>
      </c>
      <c r="D680" s="4" t="s">
        <v>162</v>
      </c>
      <c r="E680" s="5">
        <v>15</v>
      </c>
      <c r="F680" s="5">
        <v>1.2</v>
      </c>
      <c r="G680" s="5">
        <v>23.1</v>
      </c>
      <c r="H680" s="5">
        <v>19.600000000000001</v>
      </c>
      <c r="I680">
        <v>1.8</v>
      </c>
      <c r="J680" s="1">
        <v>1</v>
      </c>
      <c r="K680" s="1">
        <v>0.8</v>
      </c>
      <c r="L680" s="9">
        <v>1.73</v>
      </c>
      <c r="M680" s="9">
        <v>-4.5</v>
      </c>
      <c r="N680" s="9">
        <v>-7.49</v>
      </c>
      <c r="O680" s="9">
        <f>LN(407.61)</f>
        <v>6.0103108349043417</v>
      </c>
      <c r="P680" s="12">
        <v>3.4</v>
      </c>
      <c r="Q680" s="9">
        <v>11.083218892489029</v>
      </c>
      <c r="R680" s="9">
        <v>0.308</v>
      </c>
      <c r="S680" s="9">
        <v>0.39932380513293375</v>
      </c>
    </row>
    <row r="681" spans="1:19" ht="15.6" x14ac:dyDescent="0.3">
      <c r="A681" s="1" t="s">
        <v>217</v>
      </c>
      <c r="B681" s="2" t="s">
        <v>137</v>
      </c>
      <c r="C681" s="1">
        <v>2023</v>
      </c>
      <c r="D681" s="4" t="s">
        <v>162</v>
      </c>
      <c r="E681" s="5"/>
      <c r="F681" s="5"/>
      <c r="G681" s="5"/>
      <c r="H681" s="5"/>
      <c r="I681">
        <v>2</v>
      </c>
      <c r="J681" s="1">
        <v>1</v>
      </c>
      <c r="K681" s="1">
        <v>1</v>
      </c>
      <c r="L681" s="9">
        <v>2.64</v>
      </c>
      <c r="M681" s="9">
        <v>4.42</v>
      </c>
      <c r="N681" s="9">
        <v>7.64</v>
      </c>
      <c r="O681" s="9">
        <f>LN(399.71)</f>
        <v>5.9907392841683871</v>
      </c>
      <c r="P681" s="12">
        <v>2.5</v>
      </c>
      <c r="Q681" s="9">
        <v>11.402451899925579</v>
      </c>
      <c r="R681" s="9">
        <v>0.38500000000000001</v>
      </c>
      <c r="S681" s="9">
        <v>0.42125953473827632</v>
      </c>
    </row>
    <row r="682" spans="1:19" ht="15.6" x14ac:dyDescent="0.3">
      <c r="A682" s="13" t="s">
        <v>218</v>
      </c>
      <c r="B682" s="2" t="s">
        <v>138</v>
      </c>
      <c r="C682" s="1">
        <v>2016</v>
      </c>
      <c r="D682" s="4" t="s">
        <v>156</v>
      </c>
      <c r="E682" s="5"/>
      <c r="F682" s="5"/>
      <c r="G682" s="5"/>
      <c r="H682" s="5"/>
      <c r="I682">
        <v>0.4</v>
      </c>
      <c r="J682" s="1">
        <v>0</v>
      </c>
      <c r="K682" s="1">
        <v>0.4</v>
      </c>
      <c r="L682" s="9">
        <v>0.89</v>
      </c>
      <c r="M682" s="9">
        <v>3.1</v>
      </c>
      <c r="N682" s="9">
        <v>9.91</v>
      </c>
      <c r="O682" s="9">
        <f>LN(301.26)</f>
        <v>5.7079736792746694</v>
      </c>
      <c r="P682" s="12">
        <v>2.1</v>
      </c>
      <c r="Q682" s="9">
        <v>15.533488924687825</v>
      </c>
      <c r="R682" s="9">
        <v>0.45454545454545453</v>
      </c>
      <c r="S682" s="9">
        <v>0.6867201363656753</v>
      </c>
    </row>
    <row r="683" spans="1:19" ht="15.6" x14ac:dyDescent="0.3">
      <c r="A683" s="13" t="s">
        <v>218</v>
      </c>
      <c r="B683" s="2" t="s">
        <v>138</v>
      </c>
      <c r="C683" s="1">
        <v>2017</v>
      </c>
      <c r="D683" s="4" t="s">
        <v>156</v>
      </c>
      <c r="E683" s="5"/>
      <c r="F683" s="5"/>
      <c r="G683" s="5"/>
      <c r="H683" s="5"/>
      <c r="I683">
        <v>0.4</v>
      </c>
      <c r="J683" s="1">
        <v>0</v>
      </c>
      <c r="K683" s="1">
        <v>0.4</v>
      </c>
      <c r="L683" s="9">
        <v>0.96</v>
      </c>
      <c r="M683" s="9">
        <v>3.76</v>
      </c>
      <c r="N683" s="9">
        <v>11.97</v>
      </c>
      <c r="O683" s="9">
        <f>LN(319.11)</f>
        <v>5.7655358709316831</v>
      </c>
      <c r="P683" s="9">
        <v>3.9</v>
      </c>
      <c r="Q683" s="9">
        <v>15.623137142733389</v>
      </c>
      <c r="R683" s="9">
        <v>0.5</v>
      </c>
      <c r="S683" s="9">
        <v>0.68633941615777794</v>
      </c>
    </row>
    <row r="684" spans="1:19" ht="15.6" x14ac:dyDescent="0.3">
      <c r="A684" s="13" t="s">
        <v>218</v>
      </c>
      <c r="B684" s="2" t="s">
        <v>138</v>
      </c>
      <c r="C684" s="1">
        <v>2018</v>
      </c>
      <c r="D684" s="4" t="s">
        <v>156</v>
      </c>
      <c r="E684" s="5"/>
      <c r="F684" s="5"/>
      <c r="G684" s="5"/>
      <c r="H684" s="5"/>
      <c r="I684">
        <v>0.4</v>
      </c>
      <c r="J684" s="1">
        <v>0</v>
      </c>
      <c r="K684" s="1">
        <v>0.4</v>
      </c>
      <c r="L684" s="9">
        <v>0.42</v>
      </c>
      <c r="M684" s="9">
        <v>0.65</v>
      </c>
      <c r="N684" s="9">
        <v>2.1800000000000002</v>
      </c>
      <c r="O684" s="9">
        <f>LN(358.79)</f>
        <v>5.8827372591162019</v>
      </c>
      <c r="P684" s="9">
        <v>0.9</v>
      </c>
      <c r="Q684" s="9">
        <v>15.560842070811917</v>
      </c>
      <c r="R684" s="9">
        <v>0.44444444444444442</v>
      </c>
      <c r="S684" s="9">
        <v>0.70404361185795594</v>
      </c>
    </row>
    <row r="685" spans="1:19" ht="15.6" x14ac:dyDescent="0.3">
      <c r="A685" s="13" t="s">
        <v>218</v>
      </c>
      <c r="B685" s="2" t="s">
        <v>138</v>
      </c>
      <c r="C685" s="1">
        <v>2019</v>
      </c>
      <c r="D685" s="4" t="s">
        <v>156</v>
      </c>
      <c r="E685" s="5"/>
      <c r="F685" s="5"/>
      <c r="G685" s="5"/>
      <c r="H685" s="5"/>
      <c r="I685">
        <v>0.8</v>
      </c>
      <c r="J685" s="1">
        <v>0</v>
      </c>
      <c r="K685" s="1">
        <v>0.8</v>
      </c>
      <c r="L685" s="9">
        <v>0.56000000000000005</v>
      </c>
      <c r="M685" s="9">
        <v>2.4700000000000002</v>
      </c>
      <c r="N685" s="9">
        <v>9.66</v>
      </c>
      <c r="O685" s="9">
        <f>LN(365.18)</f>
        <v>5.9003903827085873</v>
      </c>
      <c r="P685" s="12">
        <v>0.7</v>
      </c>
      <c r="Q685" s="9">
        <v>15.648935186149524</v>
      </c>
      <c r="R685" s="9">
        <v>0.4</v>
      </c>
      <c r="S685" s="9">
        <v>0.74401656714528164</v>
      </c>
    </row>
    <row r="686" spans="1:19" ht="15.6" x14ac:dyDescent="0.3">
      <c r="A686" s="13" t="s">
        <v>218</v>
      </c>
      <c r="B686" s="2" t="s">
        <v>138</v>
      </c>
      <c r="C686" s="1">
        <v>2020</v>
      </c>
      <c r="D686" s="4" t="s">
        <v>156</v>
      </c>
      <c r="E686" s="5"/>
      <c r="F686" s="5"/>
      <c r="G686" s="5"/>
      <c r="H686" s="5"/>
      <c r="I686">
        <v>1.5</v>
      </c>
      <c r="J686" s="1">
        <v>0.5</v>
      </c>
      <c r="K686" s="1">
        <v>1</v>
      </c>
      <c r="L686" s="9">
        <v>0.84</v>
      </c>
      <c r="M686" s="9">
        <v>4.1900000000000004</v>
      </c>
      <c r="N686" s="9">
        <v>14.57</v>
      </c>
      <c r="O686" s="9">
        <f>LN(337.46)</f>
        <v>5.8214469847701915</v>
      </c>
      <c r="P686" s="12">
        <v>-0.1</v>
      </c>
      <c r="Q686" s="9">
        <v>15.615562714285844</v>
      </c>
      <c r="R686" s="9">
        <v>0.55555555555555558</v>
      </c>
      <c r="S686" s="9">
        <v>0.7126964247549944</v>
      </c>
    </row>
    <row r="687" spans="1:19" ht="15.6" x14ac:dyDescent="0.3">
      <c r="A687" s="13" t="s">
        <v>218</v>
      </c>
      <c r="B687" s="2" t="s">
        <v>138</v>
      </c>
      <c r="C687" s="1">
        <v>2021</v>
      </c>
      <c r="D687" s="4" t="s">
        <v>156</v>
      </c>
      <c r="E687" s="5">
        <v>68.7</v>
      </c>
      <c r="F687" s="5">
        <v>64.099999999999994</v>
      </c>
      <c r="G687" s="5">
        <v>66.5</v>
      </c>
      <c r="H687" s="5">
        <v>76.7</v>
      </c>
      <c r="I687">
        <v>1.8</v>
      </c>
      <c r="J687" s="1">
        <v>1</v>
      </c>
      <c r="K687" s="1">
        <v>0.8</v>
      </c>
      <c r="L687" s="9">
        <v>0.91</v>
      </c>
      <c r="M687" s="9">
        <v>3.92</v>
      </c>
      <c r="N687" s="9">
        <v>12.22</v>
      </c>
      <c r="O687" s="9">
        <f>LN(373.78)</f>
        <v>5.9236673890421567</v>
      </c>
      <c r="P687" s="12">
        <v>2.5</v>
      </c>
      <c r="Q687" s="9">
        <v>15.514280269791067</v>
      </c>
      <c r="R687" s="9">
        <v>0.5</v>
      </c>
      <c r="S687" s="9">
        <v>0.67903871384655123</v>
      </c>
    </row>
    <row r="688" spans="1:19" ht="15.6" x14ac:dyDescent="0.3">
      <c r="A688" s="13" t="s">
        <v>218</v>
      </c>
      <c r="B688" s="2" t="s">
        <v>138</v>
      </c>
      <c r="C688" s="1">
        <v>2022</v>
      </c>
      <c r="D688" s="4" t="s">
        <v>156</v>
      </c>
      <c r="E688" s="5">
        <v>67.7</v>
      </c>
      <c r="F688" s="5">
        <v>68.400000000000006</v>
      </c>
      <c r="G688" s="5">
        <v>65.2</v>
      </c>
      <c r="H688" s="5">
        <v>72.2</v>
      </c>
      <c r="I688">
        <v>1.8</v>
      </c>
      <c r="J688" s="1">
        <v>1</v>
      </c>
      <c r="K688" s="1">
        <v>0.8</v>
      </c>
      <c r="L688" s="9">
        <v>0.89</v>
      </c>
      <c r="M688" s="9">
        <v>4.9400000000000004</v>
      </c>
      <c r="N688" s="9">
        <v>14.13</v>
      </c>
      <c r="O688" s="9">
        <f>LN(407.61)</f>
        <v>6.0103108349043417</v>
      </c>
      <c r="P688" s="12">
        <v>3.4</v>
      </c>
      <c r="Q688" s="9">
        <v>15.472142504286467</v>
      </c>
      <c r="R688" s="9">
        <v>0.5</v>
      </c>
      <c r="S688" s="9">
        <v>0.65029636790256151</v>
      </c>
    </row>
    <row r="689" spans="1:19" ht="15.6" x14ac:dyDescent="0.3">
      <c r="A689" s="13" t="s">
        <v>218</v>
      </c>
      <c r="B689" s="2" t="s">
        <v>138</v>
      </c>
      <c r="C689" s="1">
        <v>2023</v>
      </c>
      <c r="D689" s="4" t="s">
        <v>156</v>
      </c>
      <c r="E689" s="5">
        <v>68.7</v>
      </c>
      <c r="F689" s="5">
        <v>64.099999999999994</v>
      </c>
      <c r="G689" s="5">
        <v>66.5</v>
      </c>
      <c r="H689" s="5">
        <v>76.7</v>
      </c>
      <c r="I689">
        <v>1.5</v>
      </c>
      <c r="J689" s="1">
        <v>0.5</v>
      </c>
      <c r="K689" s="1">
        <v>1</v>
      </c>
      <c r="L689" s="9">
        <v>0.93</v>
      </c>
      <c r="M689" s="9">
        <v>8.16</v>
      </c>
      <c r="N689" s="9">
        <v>20.059999999999999</v>
      </c>
      <c r="O689" s="9">
        <f>LN(399.71)</f>
        <v>5.9907392841683871</v>
      </c>
      <c r="P689" s="12">
        <v>2.5</v>
      </c>
      <c r="Q689" s="9">
        <v>15.424002823415174</v>
      </c>
      <c r="R689" s="9">
        <v>0.5</v>
      </c>
      <c r="S689" s="9">
        <v>0.59353500929078162</v>
      </c>
    </row>
    <row r="690" spans="1:19" ht="15.6" x14ac:dyDescent="0.3">
      <c r="A690" s="13" t="s">
        <v>219</v>
      </c>
      <c r="B690" s="2" t="s">
        <v>139</v>
      </c>
      <c r="C690" s="1">
        <v>2016</v>
      </c>
      <c r="D690" s="4" t="s">
        <v>164</v>
      </c>
      <c r="E690" s="5">
        <v>51.7</v>
      </c>
      <c r="F690" s="5">
        <v>67.7</v>
      </c>
      <c r="G690" s="5">
        <v>56.4</v>
      </c>
      <c r="H690" s="5">
        <v>30.3</v>
      </c>
      <c r="I690">
        <v>2</v>
      </c>
      <c r="J690" s="1">
        <v>1</v>
      </c>
      <c r="K690" s="1">
        <v>1</v>
      </c>
      <c r="L690" s="9">
        <v>0.63</v>
      </c>
      <c r="M690" s="9">
        <v>5.54</v>
      </c>
      <c r="N690" s="9">
        <v>14.01</v>
      </c>
      <c r="O690" s="9">
        <f>LN(301.26)</f>
        <v>5.7079736792746694</v>
      </c>
      <c r="P690" s="12">
        <v>2.1</v>
      </c>
      <c r="Q690" s="9">
        <v>17.306530666621246</v>
      </c>
      <c r="R690" s="9">
        <v>0.58333333333333337</v>
      </c>
      <c r="S690" s="9">
        <v>0.60422250125763988</v>
      </c>
    </row>
    <row r="691" spans="1:19" ht="15.6" x14ac:dyDescent="0.3">
      <c r="A691" s="13" t="s">
        <v>219</v>
      </c>
      <c r="B691" s="2" t="s">
        <v>139</v>
      </c>
      <c r="C691" s="1">
        <v>2017</v>
      </c>
      <c r="D691" s="4" t="s">
        <v>164</v>
      </c>
      <c r="E691" s="5">
        <v>46</v>
      </c>
      <c r="F691" s="5">
        <v>50.7</v>
      </c>
      <c r="G691" s="5">
        <v>51.7</v>
      </c>
      <c r="H691" s="5">
        <v>33</v>
      </c>
      <c r="I691">
        <v>2</v>
      </c>
      <c r="J691" s="1">
        <v>1</v>
      </c>
      <c r="K691" s="1">
        <v>1</v>
      </c>
      <c r="L691" s="9">
        <v>0.6</v>
      </c>
      <c r="M691" s="9">
        <v>5.45</v>
      </c>
      <c r="N691" s="9">
        <v>4.5199999999999996</v>
      </c>
      <c r="O691" s="9">
        <f>LN(319.11)</f>
        <v>5.7655358709316831</v>
      </c>
      <c r="P691" s="9">
        <v>3.9</v>
      </c>
      <c r="Q691" s="9">
        <v>17.385382971383198</v>
      </c>
      <c r="R691" s="9">
        <v>0.58333333333333337</v>
      </c>
      <c r="S691" s="9">
        <v>0.59799653424799715</v>
      </c>
    </row>
    <row r="692" spans="1:19" ht="15.6" x14ac:dyDescent="0.3">
      <c r="A692" s="13" t="s">
        <v>219</v>
      </c>
      <c r="B692" s="2" t="s">
        <v>139</v>
      </c>
      <c r="C692" s="1">
        <v>2018</v>
      </c>
      <c r="D692" s="4" t="s">
        <v>164</v>
      </c>
      <c r="E692" s="5">
        <v>43.6</v>
      </c>
      <c r="F692" s="5">
        <v>54.6</v>
      </c>
      <c r="G692" s="5">
        <v>51.2</v>
      </c>
      <c r="H692" s="5">
        <v>22.4</v>
      </c>
      <c r="I692">
        <v>2</v>
      </c>
      <c r="J692" s="1">
        <v>1</v>
      </c>
      <c r="K692" s="1">
        <v>1</v>
      </c>
      <c r="L692" s="9">
        <v>0.5</v>
      </c>
      <c r="M692" s="9">
        <v>2.42</v>
      </c>
      <c r="N692" s="9">
        <v>6.31</v>
      </c>
      <c r="O692" s="9">
        <f>LN(358.79)</f>
        <v>5.8827372591162019</v>
      </c>
      <c r="P692" s="9">
        <v>0.9</v>
      </c>
      <c r="Q692" s="9">
        <v>17.43014727699822</v>
      </c>
      <c r="R692" s="9">
        <v>0.58333333333333337</v>
      </c>
      <c r="S692" s="9">
        <v>0.61578515634129838</v>
      </c>
    </row>
    <row r="693" spans="1:19" ht="15.6" x14ac:dyDescent="0.3">
      <c r="A693" s="13" t="s">
        <v>219</v>
      </c>
      <c r="B693" s="2" t="s">
        <v>139</v>
      </c>
      <c r="C693" s="1">
        <v>2019</v>
      </c>
      <c r="D693" s="4" t="s">
        <v>164</v>
      </c>
      <c r="E693" s="5">
        <v>50.2</v>
      </c>
      <c r="F693" s="5">
        <v>68.2</v>
      </c>
      <c r="G693" s="5">
        <v>50.2</v>
      </c>
      <c r="H693" s="5">
        <v>33.799999999999997</v>
      </c>
      <c r="I693">
        <v>2</v>
      </c>
      <c r="J693" s="1">
        <v>1</v>
      </c>
      <c r="K693" s="1">
        <v>1</v>
      </c>
      <c r="L693" s="9">
        <v>0.42</v>
      </c>
      <c r="M693" s="9">
        <v>2.5299999999999998</v>
      </c>
      <c r="N693" s="9">
        <v>7.64</v>
      </c>
      <c r="O693" s="9">
        <f>LN(365.18)</f>
        <v>5.9003903827085873</v>
      </c>
      <c r="P693" s="12">
        <v>0.7</v>
      </c>
      <c r="Q693" s="9">
        <v>17.592886348469676</v>
      </c>
      <c r="R693" s="9">
        <v>0.54545454545454541</v>
      </c>
      <c r="S693" s="9">
        <v>0.66853212988839439</v>
      </c>
    </row>
    <row r="694" spans="1:19" ht="15.6" x14ac:dyDescent="0.3">
      <c r="A694" s="13" t="s">
        <v>219</v>
      </c>
      <c r="B694" s="2" t="s">
        <v>139</v>
      </c>
      <c r="C694" s="1">
        <v>2020</v>
      </c>
      <c r="D694" s="4" t="s">
        <v>164</v>
      </c>
      <c r="E694" s="5">
        <v>36.4</v>
      </c>
      <c r="F694" s="5">
        <v>61.5</v>
      </c>
      <c r="G694" s="5">
        <v>34.5</v>
      </c>
      <c r="H694" s="5">
        <v>16.600000000000001</v>
      </c>
      <c r="I694">
        <v>1.8</v>
      </c>
      <c r="J694" s="1">
        <v>1</v>
      </c>
      <c r="K694" s="1">
        <v>0.8</v>
      </c>
      <c r="L694" s="9">
        <v>0.33</v>
      </c>
      <c r="M694" s="9">
        <v>1.98</v>
      </c>
      <c r="N694" s="9">
        <v>6.25</v>
      </c>
      <c r="O694" s="9">
        <f>LN(337.46)</f>
        <v>5.8214469847701915</v>
      </c>
      <c r="P694" s="12">
        <v>-0.1</v>
      </c>
      <c r="Q694" s="9">
        <v>17.626859582090145</v>
      </c>
      <c r="R694" s="9">
        <v>0.54545454545454541</v>
      </c>
      <c r="S694" s="9">
        <v>0.6833552492713727</v>
      </c>
    </row>
    <row r="695" spans="1:19" ht="15.6" x14ac:dyDescent="0.3">
      <c r="A695" s="13" t="s">
        <v>219</v>
      </c>
      <c r="B695" s="2" t="s">
        <v>139</v>
      </c>
      <c r="C695" s="1">
        <v>2021</v>
      </c>
      <c r="D695" s="4" t="s">
        <v>164</v>
      </c>
      <c r="E695" s="5">
        <v>48.1</v>
      </c>
      <c r="F695" s="5">
        <v>36</v>
      </c>
      <c r="G695" s="5">
        <v>67.8</v>
      </c>
      <c r="H695" s="5">
        <v>42.9</v>
      </c>
      <c r="I695">
        <v>1.8</v>
      </c>
      <c r="J695" s="1">
        <v>1</v>
      </c>
      <c r="K695" s="1">
        <v>0.8</v>
      </c>
      <c r="L695" s="9">
        <v>0.28999999999999998</v>
      </c>
      <c r="M695" s="9">
        <v>2.0099999999999998</v>
      </c>
      <c r="N695" s="9">
        <v>6.27</v>
      </c>
      <c r="O695" s="9">
        <f>LN(373.78)</f>
        <v>5.9236673890421567</v>
      </c>
      <c r="P695" s="12">
        <v>2.5</v>
      </c>
      <c r="Q695" s="9">
        <v>17.59345795413746</v>
      </c>
      <c r="R695" s="9">
        <v>0.6</v>
      </c>
      <c r="S695" s="9">
        <v>0.68021790232523538</v>
      </c>
    </row>
    <row r="696" spans="1:19" ht="15.6" x14ac:dyDescent="0.3">
      <c r="A696" s="13" t="s">
        <v>219</v>
      </c>
      <c r="B696" s="2" t="s">
        <v>139</v>
      </c>
      <c r="C696" s="1">
        <v>2022</v>
      </c>
      <c r="D696" s="4" t="s">
        <v>164</v>
      </c>
      <c r="E696" s="5">
        <v>54.4</v>
      </c>
      <c r="F696" s="5">
        <v>42.4</v>
      </c>
      <c r="G696" s="5">
        <v>70.3</v>
      </c>
      <c r="H696" s="5">
        <v>54</v>
      </c>
      <c r="I696">
        <v>2</v>
      </c>
      <c r="J696" s="1">
        <v>1</v>
      </c>
      <c r="K696" s="1">
        <v>1</v>
      </c>
      <c r="L696" s="9">
        <v>0.27</v>
      </c>
      <c r="M696" s="9">
        <v>1.68</v>
      </c>
      <c r="N696" s="9">
        <v>5.68</v>
      </c>
      <c r="O696" s="9">
        <f>LN(407.61)</f>
        <v>6.0103108349043417</v>
      </c>
      <c r="P696" s="12">
        <v>3.4</v>
      </c>
      <c r="Q696" s="9">
        <v>17.658454766785439</v>
      </c>
      <c r="R696" s="9">
        <v>0.6</v>
      </c>
      <c r="S696" s="9">
        <v>0.70393591175058889</v>
      </c>
    </row>
    <row r="697" spans="1:19" ht="15.6" x14ac:dyDescent="0.3">
      <c r="A697" s="13" t="s">
        <v>219</v>
      </c>
      <c r="B697" s="2" t="s">
        <v>139</v>
      </c>
      <c r="C697" s="1">
        <v>2023</v>
      </c>
      <c r="D697" s="4" t="s">
        <v>164</v>
      </c>
      <c r="E697" s="5">
        <v>48.1</v>
      </c>
      <c r="F697" s="5">
        <v>36</v>
      </c>
      <c r="G697" s="5">
        <v>67.8</v>
      </c>
      <c r="H697" s="5">
        <v>42.9</v>
      </c>
      <c r="I697">
        <v>2</v>
      </c>
      <c r="J697" s="1">
        <v>1</v>
      </c>
      <c r="K697" s="1">
        <v>1</v>
      </c>
      <c r="L697" s="9">
        <v>0.28000000000000003</v>
      </c>
      <c r="M697" s="9">
        <v>1.35</v>
      </c>
      <c r="N697" s="9">
        <v>4.54</v>
      </c>
      <c r="O697" s="9">
        <f>LN(399.71)</f>
        <v>5.9907392841683871</v>
      </c>
      <c r="P697" s="12">
        <v>2.5</v>
      </c>
      <c r="Q697" s="9">
        <v>17.613062247932149</v>
      </c>
      <c r="R697" s="9">
        <v>0.6</v>
      </c>
      <c r="S697" s="9">
        <v>0.701662473227186</v>
      </c>
    </row>
    <row r="698" spans="1:19" ht="15.6" x14ac:dyDescent="0.3">
      <c r="A698" s="13" t="s">
        <v>220</v>
      </c>
      <c r="B698" s="2" t="s">
        <v>140</v>
      </c>
      <c r="C698" s="1">
        <v>2016</v>
      </c>
      <c r="D698" s="4" t="s">
        <v>156</v>
      </c>
      <c r="E698" s="5">
        <v>70.900000000000006</v>
      </c>
      <c r="F698" s="5">
        <v>64.5</v>
      </c>
      <c r="G698" s="5">
        <v>70.5</v>
      </c>
      <c r="H698" s="5">
        <v>77.400000000000006</v>
      </c>
      <c r="I698">
        <v>0.5</v>
      </c>
      <c r="J698" s="1">
        <v>0.5</v>
      </c>
      <c r="K698" s="1">
        <v>0</v>
      </c>
      <c r="L698" s="9">
        <v>1.64</v>
      </c>
      <c r="M698" s="9">
        <v>14.83</v>
      </c>
      <c r="N698" s="9">
        <v>18.66</v>
      </c>
      <c r="O698" s="9">
        <f>LN(301.26)</f>
        <v>5.7079736792746694</v>
      </c>
      <c r="P698" s="12">
        <v>2.1</v>
      </c>
      <c r="Q698" s="9">
        <v>13.325167069138935</v>
      </c>
      <c r="R698" s="9">
        <v>0.33300000000000002</v>
      </c>
      <c r="S698" s="9">
        <v>0.20544041958407358</v>
      </c>
    </row>
    <row r="699" spans="1:19" ht="15.6" x14ac:dyDescent="0.3">
      <c r="A699" s="13" t="s">
        <v>220</v>
      </c>
      <c r="B699" s="2" t="s">
        <v>140</v>
      </c>
      <c r="C699" s="1">
        <v>2017</v>
      </c>
      <c r="D699" s="4" t="s">
        <v>156</v>
      </c>
      <c r="E699" s="5">
        <v>62.5</v>
      </c>
      <c r="F699" s="5">
        <v>48.3</v>
      </c>
      <c r="G699" s="5">
        <v>68.7</v>
      </c>
      <c r="H699" s="5">
        <v>69.5</v>
      </c>
      <c r="I699">
        <v>0.2</v>
      </c>
      <c r="J699" s="1">
        <v>0</v>
      </c>
      <c r="K699" s="1">
        <v>0.2</v>
      </c>
      <c r="L699" s="9">
        <v>1.72</v>
      </c>
      <c r="M699" s="9">
        <v>5.7</v>
      </c>
      <c r="N699" s="9">
        <v>7.74</v>
      </c>
      <c r="O699" s="9">
        <f>LN(319.11)</f>
        <v>5.7655358709316831</v>
      </c>
      <c r="P699" s="9">
        <v>3.9</v>
      </c>
      <c r="Q699" s="9">
        <v>13.538131229508378</v>
      </c>
      <c r="R699" s="9">
        <v>0.33300000000000002</v>
      </c>
      <c r="S699" s="9">
        <v>0.26381196330798251</v>
      </c>
    </row>
    <row r="700" spans="1:19" ht="15.6" x14ac:dyDescent="0.3">
      <c r="A700" s="13" t="s">
        <v>220</v>
      </c>
      <c r="B700" s="2" t="s">
        <v>140</v>
      </c>
      <c r="C700" s="1">
        <v>2018</v>
      </c>
      <c r="D700" s="4" t="s">
        <v>156</v>
      </c>
      <c r="E700" s="5">
        <v>61.5</v>
      </c>
      <c r="F700" s="5">
        <v>51.2</v>
      </c>
      <c r="G700" s="5">
        <v>60.8</v>
      </c>
      <c r="H700" s="5">
        <v>72.3</v>
      </c>
      <c r="I700">
        <v>0.4</v>
      </c>
      <c r="J700" s="1">
        <v>0</v>
      </c>
      <c r="K700" s="1">
        <v>0.4</v>
      </c>
      <c r="L700" s="9">
        <v>1.49</v>
      </c>
      <c r="M700" s="9">
        <v>9.08</v>
      </c>
      <c r="N700" s="9">
        <v>11.46</v>
      </c>
      <c r="O700" s="9">
        <f>LN(358.79)</f>
        <v>5.8827372591162019</v>
      </c>
      <c r="P700" s="9">
        <v>0.9</v>
      </c>
      <c r="Q700" s="9">
        <v>13.551319726338205</v>
      </c>
      <c r="R700" s="9">
        <v>0.33300000000000002</v>
      </c>
      <c r="S700" s="9">
        <v>0.20705054654238519</v>
      </c>
    </row>
    <row r="701" spans="1:19" ht="15.6" x14ac:dyDescent="0.3">
      <c r="A701" s="13" t="s">
        <v>220</v>
      </c>
      <c r="B701" s="2" t="s">
        <v>140</v>
      </c>
      <c r="C701" s="1">
        <v>2019</v>
      </c>
      <c r="D701" s="4" t="s">
        <v>156</v>
      </c>
      <c r="E701" s="5">
        <v>67.400000000000006</v>
      </c>
      <c r="F701" s="5">
        <v>63.6</v>
      </c>
      <c r="G701" s="5">
        <v>70.3</v>
      </c>
      <c r="H701" s="5">
        <v>67.900000000000006</v>
      </c>
      <c r="I701">
        <v>0.2</v>
      </c>
      <c r="J701" s="1">
        <v>0</v>
      </c>
      <c r="K701" s="1">
        <v>0.2</v>
      </c>
      <c r="L701" s="9">
        <v>1.53</v>
      </c>
      <c r="M701" s="9">
        <v>8.92</v>
      </c>
      <c r="N701" s="9">
        <v>11.35</v>
      </c>
      <c r="O701" s="9">
        <f>LN(365.18)</f>
        <v>5.9003903827085873</v>
      </c>
      <c r="P701" s="12">
        <v>0.7</v>
      </c>
      <c r="Q701" s="9">
        <v>13.665023658290336</v>
      </c>
      <c r="R701" s="9">
        <v>0.33300000000000002</v>
      </c>
      <c r="S701" s="9">
        <v>0.21412455581787052</v>
      </c>
    </row>
    <row r="702" spans="1:19" ht="15.6" x14ac:dyDescent="0.3">
      <c r="A702" s="13" t="s">
        <v>220</v>
      </c>
      <c r="B702" s="2" t="s">
        <v>140</v>
      </c>
      <c r="C702" s="1">
        <v>2020</v>
      </c>
      <c r="D702" s="4" t="s">
        <v>156</v>
      </c>
      <c r="E702" s="5">
        <v>86.6</v>
      </c>
      <c r="F702" s="5">
        <v>82.6</v>
      </c>
      <c r="G702" s="5">
        <v>85.3</v>
      </c>
      <c r="H702" s="5">
        <v>91.8</v>
      </c>
      <c r="I702">
        <v>0.9</v>
      </c>
      <c r="J702" s="1">
        <v>0.5</v>
      </c>
      <c r="K702" s="1">
        <v>0.4</v>
      </c>
      <c r="L702" s="9">
        <v>2.0499999999999998</v>
      </c>
      <c r="M702" s="9">
        <v>8.41</v>
      </c>
      <c r="N702" s="9">
        <v>10.76</v>
      </c>
      <c r="O702" s="9">
        <f>LN(337.46)</f>
        <v>5.8214469847701915</v>
      </c>
      <c r="P702" s="12">
        <v>-0.1</v>
      </c>
      <c r="Q702" s="9">
        <v>13.78709770886754</v>
      </c>
      <c r="R702" s="9">
        <v>0.33300000000000002</v>
      </c>
      <c r="S702" s="9">
        <v>0.21799056983272411</v>
      </c>
    </row>
    <row r="703" spans="1:19" ht="15.6" x14ac:dyDescent="0.3">
      <c r="A703" s="13" t="s">
        <v>220</v>
      </c>
      <c r="B703" s="2" t="s">
        <v>140</v>
      </c>
      <c r="C703" s="1">
        <v>2021</v>
      </c>
      <c r="D703" s="4" t="s">
        <v>156</v>
      </c>
      <c r="E703" s="5">
        <v>40.6</v>
      </c>
      <c r="F703" s="5">
        <v>6.5</v>
      </c>
      <c r="G703" s="5">
        <v>39.5</v>
      </c>
      <c r="H703" s="5">
        <v>69.099999999999994</v>
      </c>
      <c r="I703">
        <v>0.7</v>
      </c>
      <c r="J703" s="1">
        <v>0.5</v>
      </c>
      <c r="K703" s="1">
        <v>0.2</v>
      </c>
      <c r="L703" s="9">
        <v>2.04</v>
      </c>
      <c r="M703" s="9">
        <v>9.5399999999999991</v>
      </c>
      <c r="N703" s="9">
        <v>12.43</v>
      </c>
      <c r="O703" s="9">
        <f>LN(373.78)</f>
        <v>5.9236673890421567</v>
      </c>
      <c r="P703" s="12">
        <v>2.5</v>
      </c>
      <c r="Q703" s="9">
        <v>13.802335142110749</v>
      </c>
      <c r="R703" s="9">
        <v>0.42899999999999999</v>
      </c>
      <c r="S703" s="9">
        <v>0.23239886879363994</v>
      </c>
    </row>
    <row r="704" spans="1:19" ht="15.6" x14ac:dyDescent="0.3">
      <c r="A704" s="13" t="s">
        <v>220</v>
      </c>
      <c r="B704" s="2" t="s">
        <v>140</v>
      </c>
      <c r="C704" s="1">
        <v>2022</v>
      </c>
      <c r="D704" s="4" t="s">
        <v>156</v>
      </c>
      <c r="E704" s="5">
        <v>42.4</v>
      </c>
      <c r="F704" s="5">
        <v>10</v>
      </c>
      <c r="G704" s="5">
        <v>40.799999999999997</v>
      </c>
      <c r="H704" s="5">
        <v>70.3</v>
      </c>
      <c r="I704">
        <v>0.9</v>
      </c>
      <c r="J704" s="1">
        <v>0.5</v>
      </c>
      <c r="K704" s="1">
        <v>0.4</v>
      </c>
      <c r="L704" s="9">
        <v>2.15</v>
      </c>
      <c r="M704" s="9">
        <v>10.74</v>
      </c>
      <c r="N704" s="9">
        <v>14.39</v>
      </c>
      <c r="O704" s="9">
        <f>LN(407.61)</f>
        <v>6.0103108349043417</v>
      </c>
      <c r="P704" s="12">
        <v>3.4</v>
      </c>
      <c r="Q704" s="9">
        <v>13.763510698228734</v>
      </c>
      <c r="R704" s="9">
        <v>0.5</v>
      </c>
      <c r="S704" s="9">
        <v>0.25341583370991511</v>
      </c>
    </row>
    <row r="705" spans="1:19" ht="15.6" x14ac:dyDescent="0.3">
      <c r="A705" s="13" t="s">
        <v>220</v>
      </c>
      <c r="B705" s="2" t="s">
        <v>140</v>
      </c>
      <c r="C705" s="1">
        <v>2023</v>
      </c>
      <c r="D705" s="4" t="s">
        <v>156</v>
      </c>
      <c r="E705" s="5">
        <v>40.6</v>
      </c>
      <c r="F705" s="5">
        <v>6.5</v>
      </c>
      <c r="G705" s="5">
        <v>39.5</v>
      </c>
      <c r="H705" s="5">
        <v>69.099999999999994</v>
      </c>
      <c r="I705">
        <v>1.1000000000000001</v>
      </c>
      <c r="J705" s="1">
        <v>0.5</v>
      </c>
      <c r="K705" s="1">
        <v>0.6</v>
      </c>
      <c r="L705" s="9">
        <v>1.88</v>
      </c>
      <c r="M705" s="9">
        <v>48.33</v>
      </c>
      <c r="N705" s="9">
        <v>61.52</v>
      </c>
      <c r="O705" s="9">
        <f>LN(399.71)</f>
        <v>5.9907392841683871</v>
      </c>
      <c r="P705" s="12">
        <v>2.5</v>
      </c>
      <c r="Q705" s="9">
        <v>13.961811941076688</v>
      </c>
      <c r="R705" s="9">
        <v>0.55600000000000005</v>
      </c>
      <c r="S705" s="9">
        <v>0.214357973124155</v>
      </c>
    </row>
    <row r="706" spans="1:19" ht="15.6" x14ac:dyDescent="0.3">
      <c r="A706" s="13" t="s">
        <v>221</v>
      </c>
      <c r="B706" s="2" t="s">
        <v>141</v>
      </c>
      <c r="C706" s="1">
        <v>2016</v>
      </c>
      <c r="D706" s="4" t="s">
        <v>166</v>
      </c>
      <c r="E706" s="5"/>
      <c r="F706" s="5"/>
      <c r="G706" s="5"/>
      <c r="H706" s="5"/>
      <c r="I706">
        <v>0</v>
      </c>
      <c r="J706" s="1">
        <v>0</v>
      </c>
      <c r="K706" s="1">
        <v>0</v>
      </c>
      <c r="L706" s="9">
        <v>2.0099999999999998</v>
      </c>
      <c r="M706" s="9">
        <v>13.62</v>
      </c>
      <c r="N706" s="9">
        <v>19.760000000000002</v>
      </c>
      <c r="O706" s="9">
        <f>LN(301.26)</f>
        <v>5.7079736792746694</v>
      </c>
      <c r="P706" s="12">
        <v>2.1</v>
      </c>
      <c r="Q706" s="9">
        <v>13.391153108124284</v>
      </c>
      <c r="R706" s="9">
        <v>0.5</v>
      </c>
      <c r="S706" s="9">
        <v>0.31078127149604856</v>
      </c>
    </row>
    <row r="707" spans="1:19" ht="15.6" x14ac:dyDescent="0.3">
      <c r="A707" s="1" t="s">
        <v>221</v>
      </c>
      <c r="B707" s="2" t="s">
        <v>141</v>
      </c>
      <c r="C707" s="1">
        <v>2017</v>
      </c>
      <c r="D707" s="4" t="s">
        <v>166</v>
      </c>
      <c r="E707" s="5"/>
      <c r="F707" s="5"/>
      <c r="G707" s="5"/>
      <c r="H707" s="5"/>
      <c r="I707">
        <v>0</v>
      </c>
      <c r="J707" s="1">
        <v>0</v>
      </c>
      <c r="K707" s="1">
        <v>0</v>
      </c>
      <c r="L707" s="9">
        <v>2.36</v>
      </c>
      <c r="M707" s="9">
        <v>11.06</v>
      </c>
      <c r="N707" s="9">
        <v>16.02</v>
      </c>
      <c r="O707" s="9">
        <f>LN(319.11)</f>
        <v>5.7655358709316831</v>
      </c>
      <c r="P707" s="9">
        <v>3.9</v>
      </c>
      <c r="Q707" s="9">
        <v>13.459346911861951</v>
      </c>
      <c r="R707" s="9">
        <v>0.5</v>
      </c>
      <c r="S707" s="9">
        <v>0.30959452165892298</v>
      </c>
    </row>
    <row r="708" spans="1:19" ht="15.6" x14ac:dyDescent="0.3">
      <c r="A708" s="1" t="s">
        <v>221</v>
      </c>
      <c r="B708" s="2" t="s">
        <v>141</v>
      </c>
      <c r="C708" s="1">
        <v>2018</v>
      </c>
      <c r="D708" s="4" t="s">
        <v>166</v>
      </c>
      <c r="E708" s="5"/>
      <c r="F708" s="5"/>
      <c r="G708" s="5"/>
      <c r="H708" s="5"/>
      <c r="I708">
        <v>0</v>
      </c>
      <c r="J708" s="1">
        <v>0</v>
      </c>
      <c r="K708" s="1">
        <v>0</v>
      </c>
      <c r="L708" s="9">
        <v>2.65</v>
      </c>
      <c r="M708" s="9">
        <v>8.1</v>
      </c>
      <c r="N708" s="9">
        <v>17.88</v>
      </c>
      <c r="O708" s="9">
        <f>LN(358.79)</f>
        <v>5.8827372591162019</v>
      </c>
      <c r="P708" s="9">
        <v>0.9</v>
      </c>
      <c r="Q708" s="9">
        <v>14.069902357388747</v>
      </c>
      <c r="R708" s="9">
        <v>0.54500000000000004</v>
      </c>
      <c r="S708" s="9">
        <v>0.547246326018065</v>
      </c>
    </row>
    <row r="709" spans="1:19" ht="15.6" x14ac:dyDescent="0.3">
      <c r="A709" s="1" t="s">
        <v>221</v>
      </c>
      <c r="B709" s="2" t="s">
        <v>141</v>
      </c>
      <c r="C709" s="1">
        <v>2019</v>
      </c>
      <c r="D709" s="4" t="s">
        <v>166</v>
      </c>
      <c r="E709" s="5"/>
      <c r="F709" s="5"/>
      <c r="G709" s="5"/>
      <c r="H709" s="5"/>
      <c r="I709">
        <v>0.9</v>
      </c>
      <c r="J709" s="1">
        <v>0.5</v>
      </c>
      <c r="K709" s="1">
        <v>0.4</v>
      </c>
      <c r="L709" s="9">
        <v>2.14</v>
      </c>
      <c r="M709" s="9">
        <v>6.41</v>
      </c>
      <c r="N709" s="9">
        <v>14.28</v>
      </c>
      <c r="O709" s="9">
        <f>LN(365.18)</f>
        <v>5.9003903827085873</v>
      </c>
      <c r="P709" s="12">
        <v>0.7</v>
      </c>
      <c r="Q709" s="9">
        <v>14.11359607641883</v>
      </c>
      <c r="R709" s="9">
        <v>0.54500000000000004</v>
      </c>
      <c r="S709" s="9">
        <v>0.55097578300527661</v>
      </c>
    </row>
    <row r="710" spans="1:19" ht="15.6" x14ac:dyDescent="0.3">
      <c r="A710" s="1" t="s">
        <v>221</v>
      </c>
      <c r="B710" s="2" t="s">
        <v>141</v>
      </c>
      <c r="C710" s="1">
        <v>2020</v>
      </c>
      <c r="D710" s="4" t="s">
        <v>166</v>
      </c>
      <c r="E710" s="5"/>
      <c r="F710" s="5"/>
      <c r="G710" s="5"/>
      <c r="H710" s="5"/>
      <c r="I710">
        <v>0.9</v>
      </c>
      <c r="J710" s="1">
        <v>0.5</v>
      </c>
      <c r="K710" s="1">
        <v>0.4</v>
      </c>
      <c r="L710" s="9">
        <v>8.18</v>
      </c>
      <c r="M710" s="9">
        <v>20.43</v>
      </c>
      <c r="N710" s="9">
        <v>28.72</v>
      </c>
      <c r="O710" s="9">
        <f>LN(337.46)</f>
        <v>5.8214469847701915</v>
      </c>
      <c r="P710" s="12">
        <v>-0.1</v>
      </c>
      <c r="Q710" s="9">
        <v>14.550524467119732</v>
      </c>
      <c r="R710" s="9">
        <v>0.58299999999999996</v>
      </c>
      <c r="S710" s="9">
        <v>0.28889178719268321</v>
      </c>
    </row>
    <row r="711" spans="1:19" ht="15.6" x14ac:dyDescent="0.3">
      <c r="A711" s="1" t="s">
        <v>221</v>
      </c>
      <c r="B711" s="2" t="s">
        <v>141</v>
      </c>
      <c r="C711" s="1">
        <v>2021</v>
      </c>
      <c r="D711" s="4" t="s">
        <v>166</v>
      </c>
      <c r="E711" s="5">
        <v>71</v>
      </c>
      <c r="F711" s="5">
        <v>75.2</v>
      </c>
      <c r="G711" s="5">
        <v>79.599999999999994</v>
      </c>
      <c r="H711" s="5">
        <v>57.9</v>
      </c>
      <c r="I711">
        <v>0.9</v>
      </c>
      <c r="J711" s="1">
        <v>0.5</v>
      </c>
      <c r="K711" s="1">
        <v>0.4</v>
      </c>
      <c r="L711" s="9">
        <v>3.36</v>
      </c>
      <c r="M711" s="9">
        <v>78.819999999999993</v>
      </c>
      <c r="N711" s="9">
        <v>106.79</v>
      </c>
      <c r="O711" s="9">
        <f>LN(373.78)</f>
        <v>5.9236673890421567</v>
      </c>
      <c r="P711" s="12">
        <v>2.5</v>
      </c>
      <c r="Q711" s="9">
        <v>14.668421776791423</v>
      </c>
      <c r="R711" s="9">
        <v>0.58299999999999996</v>
      </c>
      <c r="S711" s="9">
        <v>0.26192515730024873</v>
      </c>
    </row>
    <row r="712" spans="1:19" ht="15.6" x14ac:dyDescent="0.3">
      <c r="A712" s="1" t="s">
        <v>221</v>
      </c>
      <c r="B712" s="2" t="s">
        <v>141</v>
      </c>
      <c r="C712" s="1">
        <v>2022</v>
      </c>
      <c r="D712" s="4" t="s">
        <v>166</v>
      </c>
      <c r="E712" s="5">
        <v>69.5</v>
      </c>
      <c r="F712" s="5">
        <v>74.099999999999994</v>
      </c>
      <c r="G712" s="5">
        <v>79.5</v>
      </c>
      <c r="H712" s="5">
        <v>54.2</v>
      </c>
      <c r="I712">
        <v>0.9</v>
      </c>
      <c r="J712" s="1">
        <v>0.5</v>
      </c>
      <c r="K712" s="1">
        <v>0.4</v>
      </c>
      <c r="L712" s="9">
        <v>0.81</v>
      </c>
      <c r="M712" s="9">
        <v>2.78</v>
      </c>
      <c r="N712" s="9">
        <v>3.32</v>
      </c>
      <c r="O712" s="9">
        <f>LN(407.61)</f>
        <v>6.0103108349043417</v>
      </c>
      <c r="P712" s="12">
        <v>3.4</v>
      </c>
      <c r="Q712" s="9">
        <v>14.408808673547547</v>
      </c>
      <c r="R712" s="9">
        <v>0.58299999999999996</v>
      </c>
      <c r="S712" s="9">
        <v>0.16305551319706421</v>
      </c>
    </row>
    <row r="713" spans="1:19" ht="15.6" x14ac:dyDescent="0.3">
      <c r="A713" s="1" t="s">
        <v>221</v>
      </c>
      <c r="B713" s="2" t="s">
        <v>141</v>
      </c>
      <c r="C713" s="1">
        <v>2023</v>
      </c>
      <c r="D713" s="4" t="s">
        <v>166</v>
      </c>
      <c r="E713" s="5">
        <v>71</v>
      </c>
      <c r="F713" s="5">
        <v>75.2</v>
      </c>
      <c r="G713" s="5">
        <v>79.599999999999994</v>
      </c>
      <c r="H713" s="5">
        <v>57.9</v>
      </c>
      <c r="I713">
        <v>0.9</v>
      </c>
      <c r="J713" s="1">
        <v>0.5</v>
      </c>
      <c r="K713" s="1">
        <v>0.4</v>
      </c>
      <c r="L713" s="9">
        <v>0.89</v>
      </c>
      <c r="M713" s="9">
        <v>-13.1</v>
      </c>
      <c r="N713" s="9">
        <v>-15.61</v>
      </c>
      <c r="O713" s="9">
        <f>LN(399.71)</f>
        <v>5.9907392841683871</v>
      </c>
      <c r="P713" s="12">
        <v>2.5</v>
      </c>
      <c r="Q713" s="9">
        <v>14.235894491574468</v>
      </c>
      <c r="R713" s="9">
        <v>0.54500000000000004</v>
      </c>
      <c r="S713" s="9">
        <v>0.16079382823244751</v>
      </c>
    </row>
    <row r="714" spans="1:19" ht="15.6" x14ac:dyDescent="0.3">
      <c r="A714" s="13" t="s">
        <v>222</v>
      </c>
      <c r="B714" s="2" t="s">
        <v>142</v>
      </c>
      <c r="C714" s="1">
        <v>2016</v>
      </c>
      <c r="D714" s="4" t="s">
        <v>162</v>
      </c>
      <c r="E714" s="5"/>
      <c r="F714" s="5"/>
      <c r="G714" s="5"/>
      <c r="H714" s="5"/>
      <c r="I714">
        <v>0.4</v>
      </c>
      <c r="J714" s="1">
        <v>0</v>
      </c>
      <c r="K714" s="1">
        <v>0.4</v>
      </c>
      <c r="L714" s="9">
        <v>0.35</v>
      </c>
      <c r="M714" s="9">
        <v>1.1399999999999999</v>
      </c>
      <c r="N714" s="9">
        <v>2.0499999999999998</v>
      </c>
      <c r="O714" s="9">
        <f>LN(301.26)</f>
        <v>5.7079736792746694</v>
      </c>
      <c r="P714" s="12">
        <v>2.1</v>
      </c>
      <c r="Q714" s="9">
        <v>14.874866292836835</v>
      </c>
      <c r="R714" s="9">
        <v>0.41699999999999998</v>
      </c>
      <c r="S714" s="9">
        <v>0.44403108740750602</v>
      </c>
    </row>
    <row r="715" spans="1:19" ht="15.6" x14ac:dyDescent="0.3">
      <c r="A715" s="1" t="s">
        <v>222</v>
      </c>
      <c r="B715" s="2" t="s">
        <v>142</v>
      </c>
      <c r="C715" s="1">
        <v>2017</v>
      </c>
      <c r="D715" s="4" t="s">
        <v>162</v>
      </c>
      <c r="E715" s="5"/>
      <c r="F715" s="5"/>
      <c r="G715" s="5"/>
      <c r="H715" s="5"/>
      <c r="I715">
        <v>0.4</v>
      </c>
      <c r="J715" s="1">
        <v>0</v>
      </c>
      <c r="K715" s="1">
        <v>0.4</v>
      </c>
      <c r="L715" s="9">
        <v>0.35</v>
      </c>
      <c r="M715" s="9">
        <v>0.72</v>
      </c>
      <c r="N715" s="9">
        <v>1.34</v>
      </c>
      <c r="O715" s="9">
        <f>LN(319.11)</f>
        <v>5.7655358709316831</v>
      </c>
      <c r="P715" s="9">
        <v>3.9</v>
      </c>
      <c r="Q715" s="9">
        <v>15.027300032368668</v>
      </c>
      <c r="R715" s="9">
        <v>0.38500000000000001</v>
      </c>
      <c r="S715" s="9">
        <v>0.46759315622515435</v>
      </c>
    </row>
    <row r="716" spans="1:19" ht="15.6" x14ac:dyDescent="0.3">
      <c r="A716" s="1" t="s">
        <v>222</v>
      </c>
      <c r="B716" s="2" t="s">
        <v>142</v>
      </c>
      <c r="C716" s="1">
        <v>2018</v>
      </c>
      <c r="D716" s="4" t="s">
        <v>162</v>
      </c>
      <c r="E716" s="5"/>
      <c r="F716" s="5"/>
      <c r="G716" s="5"/>
      <c r="H716" s="5"/>
      <c r="I716">
        <v>0.4</v>
      </c>
      <c r="J716" s="1">
        <v>0</v>
      </c>
      <c r="K716" s="1">
        <v>0.4</v>
      </c>
      <c r="L716" s="9">
        <v>0.21</v>
      </c>
      <c r="M716" s="9">
        <v>1.98</v>
      </c>
      <c r="N716" s="9">
        <v>3.76</v>
      </c>
      <c r="O716" s="9">
        <f>LN(358.79)</f>
        <v>5.8827372591162019</v>
      </c>
      <c r="P716" s="9">
        <v>0.9</v>
      </c>
      <c r="Q716" s="9">
        <v>15.043050366010785</v>
      </c>
      <c r="R716" s="9">
        <v>0.38500000000000001</v>
      </c>
      <c r="S716" s="9">
        <v>0.47319272051319394</v>
      </c>
    </row>
    <row r="717" spans="1:19" ht="15.6" x14ac:dyDescent="0.3">
      <c r="A717" s="1" t="s">
        <v>222</v>
      </c>
      <c r="B717" s="2" t="s">
        <v>142</v>
      </c>
      <c r="C717" s="1">
        <v>2019</v>
      </c>
      <c r="D717" s="4" t="s">
        <v>162</v>
      </c>
      <c r="E717" s="5"/>
      <c r="F717" s="5"/>
      <c r="G717" s="5"/>
      <c r="H717" s="5"/>
      <c r="I717">
        <v>0.6</v>
      </c>
      <c r="J717" s="1">
        <v>0</v>
      </c>
      <c r="K717" s="1">
        <v>0.6</v>
      </c>
      <c r="L717" s="9">
        <v>0.24</v>
      </c>
      <c r="M717" s="9">
        <v>1.65</v>
      </c>
      <c r="N717" s="9">
        <v>2.87</v>
      </c>
      <c r="O717" s="9">
        <f>LN(365.18)</f>
        <v>5.9003903827085873</v>
      </c>
      <c r="P717" s="12">
        <v>0.7</v>
      </c>
      <c r="Q717" s="9">
        <v>15.005265566748449</v>
      </c>
      <c r="R717" s="9">
        <v>0.35699999999999998</v>
      </c>
      <c r="S717" s="9">
        <v>0.42504220582811669</v>
      </c>
    </row>
    <row r="718" spans="1:19" ht="15.6" x14ac:dyDescent="0.3">
      <c r="A718" s="1" t="s">
        <v>222</v>
      </c>
      <c r="B718" s="2" t="s">
        <v>142</v>
      </c>
      <c r="C718" s="1">
        <v>2020</v>
      </c>
      <c r="D718" s="4" t="s">
        <v>162</v>
      </c>
      <c r="E718" s="5"/>
      <c r="F718" s="5"/>
      <c r="G718" s="5"/>
      <c r="H718" s="5"/>
      <c r="I718">
        <v>0.4</v>
      </c>
      <c r="J718" s="1">
        <v>0</v>
      </c>
      <c r="K718" s="1">
        <v>0.4</v>
      </c>
      <c r="L718" s="9">
        <v>0.19</v>
      </c>
      <c r="M718" s="9">
        <v>-2.06</v>
      </c>
      <c r="N718" s="9">
        <v>-3.76</v>
      </c>
      <c r="O718" s="9">
        <f>LN(337.46)</f>
        <v>5.8214469847701915</v>
      </c>
      <c r="P718" s="12">
        <v>-0.1</v>
      </c>
      <c r="Q718" s="9">
        <v>15.027172028596253</v>
      </c>
      <c r="R718" s="9">
        <v>0.35699999999999998</v>
      </c>
      <c r="S718" s="9">
        <v>0.4532174318954017</v>
      </c>
    </row>
    <row r="719" spans="1:19" ht="15.6" x14ac:dyDescent="0.3">
      <c r="A719" s="1" t="s">
        <v>222</v>
      </c>
      <c r="B719" s="2" t="s">
        <v>142</v>
      </c>
      <c r="C719" s="1">
        <v>2021</v>
      </c>
      <c r="D719" s="4" t="s">
        <v>162</v>
      </c>
      <c r="E719" s="5">
        <v>86.5</v>
      </c>
      <c r="F719" s="5">
        <v>90.1</v>
      </c>
      <c r="G719" s="5">
        <v>83.3</v>
      </c>
      <c r="H719" s="5">
        <v>86.3</v>
      </c>
      <c r="I719">
        <v>1.1000000000000001</v>
      </c>
      <c r="J719" s="1">
        <v>0.5</v>
      </c>
      <c r="K719" s="1">
        <v>0.6</v>
      </c>
      <c r="L719" s="9">
        <v>0.13</v>
      </c>
      <c r="M719" s="9">
        <v>-1.65</v>
      </c>
      <c r="N719" s="9">
        <v>-3.14</v>
      </c>
      <c r="O719" s="9">
        <f>LN(373.78)</f>
        <v>5.9236673890421567</v>
      </c>
      <c r="P719" s="12">
        <v>2.5</v>
      </c>
      <c r="Q719" s="9">
        <v>14.947438660130281</v>
      </c>
      <c r="R719" s="9">
        <v>0.4</v>
      </c>
      <c r="S719" s="9">
        <v>0.47530637912762674</v>
      </c>
    </row>
    <row r="720" spans="1:19" ht="15.6" x14ac:dyDescent="0.3">
      <c r="A720" s="1" t="s">
        <v>222</v>
      </c>
      <c r="B720" s="2" t="s">
        <v>142</v>
      </c>
      <c r="C720" s="1">
        <v>2022</v>
      </c>
      <c r="D720" s="4" t="s">
        <v>162</v>
      </c>
      <c r="E720" s="5">
        <v>87.8</v>
      </c>
      <c r="F720" s="5">
        <v>90.7</v>
      </c>
      <c r="G720" s="5">
        <v>86.2</v>
      </c>
      <c r="H720" s="5">
        <v>86.9</v>
      </c>
      <c r="I720">
        <v>1.1000000000000001</v>
      </c>
      <c r="J720" s="1">
        <v>0.5</v>
      </c>
      <c r="K720" s="1">
        <v>0.6</v>
      </c>
      <c r="L720" s="9">
        <v>0.1</v>
      </c>
      <c r="M720" s="9">
        <v>0.62</v>
      </c>
      <c r="N720" s="9">
        <v>1.17</v>
      </c>
      <c r="O720" s="9">
        <f>LN(407.61)</f>
        <v>6.0103108349043417</v>
      </c>
      <c r="P720" s="12">
        <v>3.4</v>
      </c>
      <c r="Q720" s="9">
        <v>14.900043191844098</v>
      </c>
      <c r="R720" s="9">
        <v>0.4</v>
      </c>
      <c r="S720" s="9">
        <v>0.47343949085497677</v>
      </c>
    </row>
    <row r="721" spans="1:19" ht="15.6" x14ac:dyDescent="0.3">
      <c r="A721" s="1" t="s">
        <v>222</v>
      </c>
      <c r="B721" s="2" t="s">
        <v>142</v>
      </c>
      <c r="C721" s="1">
        <v>2023</v>
      </c>
      <c r="D721" s="4" t="s">
        <v>162</v>
      </c>
      <c r="E721" s="5">
        <v>86.5</v>
      </c>
      <c r="F721" s="5">
        <v>90.1</v>
      </c>
      <c r="G721" s="5">
        <v>83.3</v>
      </c>
      <c r="H721" s="5">
        <v>86.3</v>
      </c>
      <c r="I721">
        <v>1.1000000000000001</v>
      </c>
      <c r="J721" s="1">
        <v>0.5</v>
      </c>
      <c r="K721" s="1">
        <v>0.6</v>
      </c>
      <c r="L721" s="9">
        <v>0.32</v>
      </c>
      <c r="M721" s="9">
        <v>0.6</v>
      </c>
      <c r="N721" s="9">
        <v>1.1100000000000001</v>
      </c>
      <c r="O721" s="9">
        <f>LN(399.71)</f>
        <v>5.9907392841683871</v>
      </c>
      <c r="P721" s="12">
        <v>2.5</v>
      </c>
      <c r="Q721" s="9">
        <v>14.854215363443895</v>
      </c>
      <c r="R721" s="9">
        <v>0.4</v>
      </c>
      <c r="S721" s="9">
        <v>0.46409112546030779</v>
      </c>
    </row>
    <row r="722" spans="1:19" ht="15.6" x14ac:dyDescent="0.3">
      <c r="A722" s="13" t="s">
        <v>223</v>
      </c>
      <c r="B722" s="2" t="s">
        <v>143</v>
      </c>
      <c r="C722" s="1">
        <v>2016</v>
      </c>
      <c r="D722" s="4" t="s">
        <v>161</v>
      </c>
      <c r="E722" s="5"/>
      <c r="F722" s="5"/>
      <c r="G722" s="5"/>
      <c r="H722" s="5"/>
      <c r="I722">
        <v>0.4</v>
      </c>
      <c r="J722" s="1">
        <v>0</v>
      </c>
      <c r="K722" s="1">
        <v>0.4</v>
      </c>
      <c r="L722" s="9">
        <v>0.97</v>
      </c>
      <c r="M722" s="9">
        <v>9.09</v>
      </c>
      <c r="N722" s="9">
        <v>11.44</v>
      </c>
      <c r="O722" s="9">
        <f>LN(301.26)</f>
        <v>5.7079736792746694</v>
      </c>
      <c r="P722" s="12">
        <v>2.1</v>
      </c>
      <c r="Q722" s="9">
        <v>12.894619259694551</v>
      </c>
      <c r="R722" s="9">
        <v>0.182</v>
      </c>
      <c r="S722" s="9">
        <v>0.20555600204940677</v>
      </c>
    </row>
    <row r="723" spans="1:19" ht="15.6" x14ac:dyDescent="0.3">
      <c r="A723" s="13" t="s">
        <v>223</v>
      </c>
      <c r="B723" s="2" t="s">
        <v>143</v>
      </c>
      <c r="C723" s="1">
        <v>2017</v>
      </c>
      <c r="D723" s="4" t="s">
        <v>161</v>
      </c>
      <c r="E723" s="5"/>
      <c r="F723" s="5"/>
      <c r="G723" s="5"/>
      <c r="H723" s="5"/>
      <c r="I723">
        <v>1.8</v>
      </c>
      <c r="J723" s="1">
        <v>1</v>
      </c>
      <c r="K723" s="1">
        <v>0.8</v>
      </c>
      <c r="L723" s="9">
        <v>1.45</v>
      </c>
      <c r="M723" s="9">
        <v>8.64</v>
      </c>
      <c r="N723" s="9">
        <v>10.9</v>
      </c>
      <c r="O723" s="9">
        <f>LN(319.11)</f>
        <v>5.7655358709316831</v>
      </c>
      <c r="P723" s="9">
        <v>3.9</v>
      </c>
      <c r="Q723" s="9">
        <v>13.026347948970642</v>
      </c>
      <c r="R723" s="9">
        <v>0.182</v>
      </c>
      <c r="S723" s="9">
        <v>0.20721228466068578</v>
      </c>
    </row>
    <row r="724" spans="1:19" ht="15.6" x14ac:dyDescent="0.3">
      <c r="A724" s="13" t="s">
        <v>223</v>
      </c>
      <c r="B724" s="2" t="s">
        <v>143</v>
      </c>
      <c r="C724" s="1">
        <v>2018</v>
      </c>
      <c r="D724" s="4" t="s">
        <v>161</v>
      </c>
      <c r="E724" s="5"/>
      <c r="F724" s="5"/>
      <c r="G724" s="5"/>
      <c r="H724" s="5"/>
      <c r="I724">
        <v>1.3</v>
      </c>
      <c r="J724" s="1">
        <v>0.5</v>
      </c>
      <c r="K724" s="1">
        <v>0.8</v>
      </c>
      <c r="L724" s="9">
        <v>1.34</v>
      </c>
      <c r="M724" s="9">
        <v>5.31</v>
      </c>
      <c r="N724" s="9">
        <v>6.66</v>
      </c>
      <c r="O724" s="9">
        <f>LN(358.79)</f>
        <v>5.8827372591162019</v>
      </c>
      <c r="P724" s="9">
        <v>0.9</v>
      </c>
      <c r="Q724" s="9">
        <v>12.984957058368684</v>
      </c>
      <c r="R724" s="9">
        <v>0.182</v>
      </c>
      <c r="S724" s="9">
        <v>0.20263281077905868</v>
      </c>
    </row>
    <row r="725" spans="1:19" ht="15.6" x14ac:dyDescent="0.3">
      <c r="A725" s="13" t="s">
        <v>223</v>
      </c>
      <c r="B725" s="2" t="s">
        <v>143</v>
      </c>
      <c r="C725" s="1">
        <v>2019</v>
      </c>
      <c r="D725" s="4" t="s">
        <v>161</v>
      </c>
      <c r="E725" s="5"/>
      <c r="F725" s="5"/>
      <c r="G725" s="5"/>
      <c r="H725" s="5"/>
      <c r="I725">
        <v>2</v>
      </c>
      <c r="J725" s="1">
        <v>1</v>
      </c>
      <c r="K725" s="1">
        <v>1</v>
      </c>
      <c r="L725" s="9">
        <v>0.89</v>
      </c>
      <c r="M725" s="9">
        <v>-0.54</v>
      </c>
      <c r="N725" s="9">
        <v>-0.7</v>
      </c>
      <c r="O725" s="9">
        <f>LN(365.18)</f>
        <v>5.9003903827085873</v>
      </c>
      <c r="P725" s="12">
        <v>0.7</v>
      </c>
      <c r="Q725" s="9">
        <v>12.978737780720241</v>
      </c>
      <c r="R725" s="9">
        <v>0.23100000000000001</v>
      </c>
      <c r="S725" s="9">
        <v>0.23539272141231016</v>
      </c>
    </row>
    <row r="726" spans="1:19" ht="15.6" x14ac:dyDescent="0.3">
      <c r="A726" s="13" t="s">
        <v>223</v>
      </c>
      <c r="B726" s="2" t="s">
        <v>143</v>
      </c>
      <c r="C726" s="1">
        <v>2020</v>
      </c>
      <c r="D726" s="4" t="s">
        <v>161</v>
      </c>
      <c r="E726" s="5"/>
      <c r="F726" s="5"/>
      <c r="G726" s="5"/>
      <c r="H726" s="5"/>
      <c r="I726">
        <v>1.8</v>
      </c>
      <c r="J726" s="1">
        <v>1</v>
      </c>
      <c r="K726" s="1">
        <v>0.8</v>
      </c>
      <c r="L726" s="9">
        <v>2.14</v>
      </c>
      <c r="M726" s="9">
        <v>6.29</v>
      </c>
      <c r="N726" s="9">
        <v>8.0500000000000007</v>
      </c>
      <c r="O726" s="9">
        <f>LN(337.46)</f>
        <v>5.8214469847701915</v>
      </c>
      <c r="P726" s="12">
        <v>-0.1</v>
      </c>
      <c r="Q726" s="9">
        <v>13.246432392607042</v>
      </c>
      <c r="R726" s="9">
        <v>0.23100000000000001</v>
      </c>
      <c r="S726" s="9">
        <v>0.21956480645600102</v>
      </c>
    </row>
    <row r="727" spans="1:19" ht="15.6" x14ac:dyDescent="0.3">
      <c r="A727" s="13" t="s">
        <v>223</v>
      </c>
      <c r="B727" s="2" t="s">
        <v>143</v>
      </c>
      <c r="C727" s="1">
        <v>2021</v>
      </c>
      <c r="D727" s="4" t="s">
        <v>161</v>
      </c>
      <c r="E727" s="5">
        <v>45</v>
      </c>
      <c r="F727" s="5">
        <v>19.899999999999999</v>
      </c>
      <c r="G727" s="5">
        <v>73.8</v>
      </c>
      <c r="H727" s="5">
        <v>27.6</v>
      </c>
      <c r="I727">
        <v>1.8</v>
      </c>
      <c r="J727" s="1">
        <v>1</v>
      </c>
      <c r="K727" s="1">
        <v>0.8</v>
      </c>
      <c r="L727" s="9">
        <v>2.37</v>
      </c>
      <c r="M727" s="9">
        <v>7.11</v>
      </c>
      <c r="N727" s="9">
        <v>9.1300000000000008</v>
      </c>
      <c r="O727" s="9">
        <f>LN(373.78)</f>
        <v>5.9236673890421567</v>
      </c>
      <c r="P727" s="12">
        <v>2.5</v>
      </c>
      <c r="Q727" s="9">
        <v>13.409672380274307</v>
      </c>
      <c r="R727" s="9">
        <v>0.23100000000000001</v>
      </c>
      <c r="S727" s="9">
        <v>0.2216491751423281</v>
      </c>
    </row>
    <row r="728" spans="1:19" ht="15.6" x14ac:dyDescent="0.3">
      <c r="A728" s="13" t="s">
        <v>223</v>
      </c>
      <c r="B728" s="2" t="s">
        <v>143</v>
      </c>
      <c r="C728" s="1">
        <v>2022</v>
      </c>
      <c r="D728" s="4" t="s">
        <v>161</v>
      </c>
      <c r="E728" s="5">
        <v>47.9</v>
      </c>
      <c r="F728" s="5">
        <v>28.4</v>
      </c>
      <c r="G728" s="5">
        <v>73.900000000000006</v>
      </c>
      <c r="H728" s="5">
        <v>28.6</v>
      </c>
      <c r="I728">
        <v>1.8</v>
      </c>
      <c r="J728" s="1">
        <v>1</v>
      </c>
      <c r="K728" s="1">
        <v>0.8</v>
      </c>
      <c r="L728" s="9">
        <v>1.48</v>
      </c>
      <c r="M728" s="9">
        <v>12.77</v>
      </c>
      <c r="N728" s="9">
        <v>15.95</v>
      </c>
      <c r="O728" s="9">
        <f>LN(407.61)</f>
        <v>6.0103108349043417</v>
      </c>
      <c r="P728" s="12">
        <v>3.4</v>
      </c>
      <c r="Q728" s="9">
        <v>13.435818454222805</v>
      </c>
      <c r="R728" s="9">
        <v>0.28599999999999998</v>
      </c>
      <c r="S728" s="9">
        <v>0.19954917026277935</v>
      </c>
    </row>
    <row r="729" spans="1:19" ht="15.6" x14ac:dyDescent="0.3">
      <c r="A729" s="13" t="s">
        <v>223</v>
      </c>
      <c r="B729" s="2" t="s">
        <v>143</v>
      </c>
      <c r="C729" s="1">
        <v>2023</v>
      </c>
      <c r="D729" s="4" t="s">
        <v>161</v>
      </c>
      <c r="E729" s="5">
        <v>45</v>
      </c>
      <c r="F729" s="5">
        <v>19.899999999999999</v>
      </c>
      <c r="G729" s="5">
        <v>73.8</v>
      </c>
      <c r="H729" s="5">
        <v>27.6</v>
      </c>
      <c r="I729">
        <v>1.8</v>
      </c>
      <c r="J729" s="1">
        <v>1</v>
      </c>
      <c r="K729" s="1">
        <v>0.8</v>
      </c>
      <c r="L729" s="9">
        <v>1.79</v>
      </c>
      <c r="M729" s="9">
        <v>2.69</v>
      </c>
      <c r="N729" s="9">
        <v>3.36</v>
      </c>
      <c r="O729" s="9">
        <f>LN(399.71)</f>
        <v>5.9907392841683871</v>
      </c>
      <c r="P729" s="12">
        <v>2.5</v>
      </c>
      <c r="Q729" s="9">
        <v>13.385833184380589</v>
      </c>
      <c r="R729" s="9">
        <v>0.33300000000000002</v>
      </c>
      <c r="S729" s="9">
        <v>0.20169228192199706</v>
      </c>
    </row>
    <row r="730" spans="1:19" ht="15.6" x14ac:dyDescent="0.3">
      <c r="A730" s="13" t="s">
        <v>224</v>
      </c>
      <c r="B730" s="2" t="s">
        <v>144</v>
      </c>
      <c r="C730" s="1">
        <v>2016</v>
      </c>
      <c r="D730" s="4" t="s">
        <v>165</v>
      </c>
      <c r="E730" s="5"/>
      <c r="F730" s="5"/>
      <c r="G730" s="5"/>
      <c r="H730" s="5"/>
      <c r="I730">
        <v>1.1000000000000001</v>
      </c>
      <c r="J730" s="1">
        <v>0.5</v>
      </c>
      <c r="K730" s="1">
        <v>0.6</v>
      </c>
      <c r="L730" s="9">
        <v>2.12</v>
      </c>
      <c r="M730" s="9">
        <v>12.46</v>
      </c>
      <c r="N730" s="9">
        <v>13.92</v>
      </c>
      <c r="O730" s="9">
        <f>LN(301.26)</f>
        <v>5.7079736792746694</v>
      </c>
      <c r="P730" s="12">
        <v>2.1</v>
      </c>
      <c r="Q730" s="9">
        <v>13.286704246162333</v>
      </c>
      <c r="R730" s="9">
        <v>0.36399999999999999</v>
      </c>
      <c r="S730" s="9">
        <v>0.10442756589084146</v>
      </c>
    </row>
    <row r="731" spans="1:19" ht="15.6" x14ac:dyDescent="0.3">
      <c r="A731" s="1" t="s">
        <v>224</v>
      </c>
      <c r="B731" s="2" t="s">
        <v>144</v>
      </c>
      <c r="C731" s="1">
        <v>2017</v>
      </c>
      <c r="D731" s="4" t="s">
        <v>165</v>
      </c>
      <c r="E731" s="5"/>
      <c r="F731" s="5"/>
      <c r="G731" s="5"/>
      <c r="H731" s="5"/>
      <c r="I731">
        <v>0.2</v>
      </c>
      <c r="J731" s="1">
        <v>0</v>
      </c>
      <c r="K731" s="1">
        <v>0.2</v>
      </c>
      <c r="L731" s="9">
        <v>2.0699999999999998</v>
      </c>
      <c r="M731" s="9">
        <v>13.86</v>
      </c>
      <c r="N731" s="9">
        <v>15.58</v>
      </c>
      <c r="O731" s="9">
        <f>LN(319.11)</f>
        <v>5.7655358709316831</v>
      </c>
      <c r="P731" s="9">
        <v>3.9</v>
      </c>
      <c r="Q731" s="9">
        <v>13.44999522410283</v>
      </c>
      <c r="R731" s="9">
        <v>0.36399999999999999</v>
      </c>
      <c r="S731" s="9">
        <v>0.110475196695487</v>
      </c>
    </row>
    <row r="732" spans="1:19" ht="15.6" x14ac:dyDescent="0.3">
      <c r="A732" s="1" t="s">
        <v>224</v>
      </c>
      <c r="B732" s="2" t="s">
        <v>144</v>
      </c>
      <c r="C732" s="1">
        <v>2018</v>
      </c>
      <c r="D732" s="4" t="s">
        <v>165</v>
      </c>
      <c r="E732" s="5"/>
      <c r="F732" s="5"/>
      <c r="G732" s="5"/>
      <c r="H732" s="5"/>
      <c r="I732">
        <v>1.3</v>
      </c>
      <c r="J732" s="1">
        <v>0.5</v>
      </c>
      <c r="K732" s="1">
        <v>0.8</v>
      </c>
      <c r="L732" s="9">
        <v>1.82</v>
      </c>
      <c r="M732" s="9">
        <v>12.76</v>
      </c>
      <c r="N732" s="9">
        <v>14.39</v>
      </c>
      <c r="O732" s="9">
        <f>LN(358.79)</f>
        <v>5.8827372591162019</v>
      </c>
      <c r="P732" s="9">
        <v>0.9</v>
      </c>
      <c r="Q732" s="9">
        <v>13.466208368354955</v>
      </c>
      <c r="R732" s="9">
        <v>0.41699999999999998</v>
      </c>
      <c r="S732" s="9">
        <v>0.11289458010720667</v>
      </c>
    </row>
    <row r="733" spans="1:19" ht="15.6" x14ac:dyDescent="0.3">
      <c r="A733" s="1" t="s">
        <v>224</v>
      </c>
      <c r="B733" s="2" t="s">
        <v>144</v>
      </c>
      <c r="C733" s="1">
        <v>2019</v>
      </c>
      <c r="D733" s="4" t="s">
        <v>165</v>
      </c>
      <c r="E733" s="5"/>
      <c r="F733" s="5"/>
      <c r="G733" s="5"/>
      <c r="H733" s="5"/>
      <c r="I733">
        <v>2</v>
      </c>
      <c r="J733" s="1">
        <v>1</v>
      </c>
      <c r="K733" s="1">
        <v>1</v>
      </c>
      <c r="L733" s="9">
        <v>1.91</v>
      </c>
      <c r="M733" s="9">
        <v>9.91</v>
      </c>
      <c r="N733" s="9">
        <v>11.09</v>
      </c>
      <c r="O733" s="9">
        <f>LN(365.18)</f>
        <v>5.9003903827085873</v>
      </c>
      <c r="P733" s="12">
        <v>0.7</v>
      </c>
      <c r="Q733" s="9">
        <v>13.45655014719186</v>
      </c>
      <c r="R733" s="9">
        <v>0.41699999999999998</v>
      </c>
      <c r="S733" s="9">
        <v>0.10651029063490654</v>
      </c>
    </row>
    <row r="734" spans="1:19" ht="15.6" x14ac:dyDescent="0.3">
      <c r="A734" s="1" t="s">
        <v>224</v>
      </c>
      <c r="B734" s="2" t="s">
        <v>144</v>
      </c>
      <c r="C734" s="1">
        <v>2020</v>
      </c>
      <c r="D734" s="4" t="s">
        <v>165</v>
      </c>
      <c r="E734" s="5"/>
      <c r="F734" s="5"/>
      <c r="G734" s="5"/>
      <c r="H734" s="5"/>
      <c r="I734">
        <v>1.3</v>
      </c>
      <c r="J734" s="1">
        <v>0.5</v>
      </c>
      <c r="K734" s="1">
        <v>0.8</v>
      </c>
      <c r="L734" s="9">
        <v>2.0299999999999998</v>
      </c>
      <c r="M734" s="9">
        <v>13.43</v>
      </c>
      <c r="N734" s="9">
        <v>15.19</v>
      </c>
      <c r="O734" s="9">
        <f>LN(337.46)</f>
        <v>5.8214469847701915</v>
      </c>
      <c r="P734" s="12">
        <v>-0.1</v>
      </c>
      <c r="Q734" s="9">
        <v>13.516164727581179</v>
      </c>
      <c r="R734" s="9">
        <v>0.38500000000000001</v>
      </c>
      <c r="S734" s="9">
        <v>0.11561804012664187</v>
      </c>
    </row>
    <row r="735" spans="1:19" ht="15.6" x14ac:dyDescent="0.3">
      <c r="A735" s="1" t="s">
        <v>224</v>
      </c>
      <c r="B735" s="2" t="s">
        <v>144</v>
      </c>
      <c r="C735" s="1">
        <v>2021</v>
      </c>
      <c r="D735" s="4" t="s">
        <v>165</v>
      </c>
      <c r="E735" s="5">
        <v>53.8</v>
      </c>
      <c r="F735" s="5">
        <v>43.3</v>
      </c>
      <c r="G735" s="5">
        <v>57.2</v>
      </c>
      <c r="H735" s="5">
        <v>59.7</v>
      </c>
      <c r="I735">
        <v>1.5</v>
      </c>
      <c r="J735" s="1">
        <v>0.5</v>
      </c>
      <c r="K735" s="1">
        <v>1</v>
      </c>
      <c r="L735" s="9">
        <v>1.83</v>
      </c>
      <c r="M735" s="9">
        <v>16.440000000000001</v>
      </c>
      <c r="N735" s="9">
        <v>19.3</v>
      </c>
      <c r="O735" s="9">
        <f>LN(373.78)</f>
        <v>5.9236673890421567</v>
      </c>
      <c r="P735" s="12">
        <v>2.5</v>
      </c>
      <c r="Q735" s="9">
        <v>13.534556468458538</v>
      </c>
      <c r="R735" s="9">
        <v>0.35699999999999998</v>
      </c>
      <c r="S735" s="9">
        <v>0.1483187495612949</v>
      </c>
    </row>
    <row r="736" spans="1:19" ht="15.6" x14ac:dyDescent="0.3">
      <c r="A736" s="1" t="s">
        <v>224</v>
      </c>
      <c r="B736" s="2" t="s">
        <v>144</v>
      </c>
      <c r="C736" s="1">
        <v>2022</v>
      </c>
      <c r="D736" s="4" t="s">
        <v>165</v>
      </c>
      <c r="E736" s="5">
        <v>66.3</v>
      </c>
      <c r="F736" s="5">
        <v>49.6</v>
      </c>
      <c r="G736" s="5">
        <v>77.3</v>
      </c>
      <c r="H736" s="5">
        <v>65.7</v>
      </c>
      <c r="I736">
        <v>1.8</v>
      </c>
      <c r="J736" s="1">
        <v>1</v>
      </c>
      <c r="K736" s="1">
        <v>0.8</v>
      </c>
      <c r="L736" s="9">
        <v>1.92</v>
      </c>
      <c r="M736" s="9">
        <v>18.13</v>
      </c>
      <c r="N736" s="9">
        <v>20.71</v>
      </c>
      <c r="O736" s="9">
        <f>LN(407.61)</f>
        <v>6.0103108349043417</v>
      </c>
      <c r="P736" s="12">
        <v>3.4</v>
      </c>
      <c r="Q736" s="9">
        <v>13.530559419781298</v>
      </c>
      <c r="R736" s="9">
        <v>0.42899999999999999</v>
      </c>
      <c r="S736" s="9">
        <v>0.12475616680251739</v>
      </c>
    </row>
    <row r="737" spans="1:19" ht="15.6" x14ac:dyDescent="0.3">
      <c r="A737" s="1" t="s">
        <v>224</v>
      </c>
      <c r="B737" s="2" t="s">
        <v>144</v>
      </c>
      <c r="C737" s="1">
        <v>2023</v>
      </c>
      <c r="D737" s="4" t="s">
        <v>165</v>
      </c>
      <c r="E737" s="5">
        <v>53.8</v>
      </c>
      <c r="F737" s="5">
        <v>43.3</v>
      </c>
      <c r="G737" s="5">
        <v>57.2</v>
      </c>
      <c r="H737" s="5">
        <v>59.7</v>
      </c>
      <c r="I737">
        <v>2</v>
      </c>
      <c r="J737" s="1">
        <v>1</v>
      </c>
      <c r="K737" s="1">
        <v>1</v>
      </c>
      <c r="L737" s="9">
        <v>2.27</v>
      </c>
      <c r="M737" s="9">
        <v>21.69</v>
      </c>
      <c r="N737" s="9">
        <v>24.68</v>
      </c>
      <c r="O737" s="9">
        <f>LN(399.71)</f>
        <v>5.9907392841683871</v>
      </c>
      <c r="P737" s="12">
        <v>2.5</v>
      </c>
      <c r="Q737" s="9">
        <v>13.474136527155615</v>
      </c>
      <c r="R737" s="9">
        <v>0.42899999999999999</v>
      </c>
      <c r="S737" s="9">
        <v>0.12139539922312122</v>
      </c>
    </row>
    <row r="738" spans="1:19" ht="15.6" x14ac:dyDescent="0.3">
      <c r="A738" s="13" t="s">
        <v>225</v>
      </c>
      <c r="B738" s="2" t="s">
        <v>145</v>
      </c>
      <c r="C738" s="1">
        <v>2016</v>
      </c>
      <c r="D738" s="4" t="s">
        <v>161</v>
      </c>
      <c r="E738" s="5"/>
      <c r="F738" s="5"/>
      <c r="G738" s="5"/>
      <c r="H738" s="5"/>
      <c r="I738">
        <v>0.8</v>
      </c>
      <c r="J738" s="1">
        <v>0</v>
      </c>
      <c r="K738" s="1">
        <v>0.8</v>
      </c>
      <c r="L738" s="9"/>
      <c r="M738" s="9">
        <v>16.97</v>
      </c>
      <c r="N738" s="9">
        <v>30.9</v>
      </c>
      <c r="O738" s="9">
        <f>LN(301.26)</f>
        <v>5.7079736792746694</v>
      </c>
      <c r="P738" s="12">
        <v>2.1</v>
      </c>
      <c r="Q738" s="9">
        <v>10.246793528735907</v>
      </c>
      <c r="R738" s="9"/>
      <c r="S738" s="9">
        <v>0.45083711691259931</v>
      </c>
    </row>
    <row r="739" spans="1:19" ht="15.6" x14ac:dyDescent="0.3">
      <c r="A739" s="1" t="s">
        <v>225</v>
      </c>
      <c r="B739" s="2" t="s">
        <v>145</v>
      </c>
      <c r="C739" s="1">
        <v>2017</v>
      </c>
      <c r="D739" s="4" t="s">
        <v>161</v>
      </c>
      <c r="E739" s="5"/>
      <c r="F739" s="5"/>
      <c r="G739" s="5"/>
      <c r="H739" s="5"/>
      <c r="I739">
        <v>1.3</v>
      </c>
      <c r="J739" s="1">
        <v>0.5</v>
      </c>
      <c r="K739" s="1">
        <v>0.8</v>
      </c>
      <c r="L739" s="9"/>
      <c r="M739" s="9">
        <v>10.89</v>
      </c>
      <c r="N739" s="9">
        <v>19.97</v>
      </c>
      <c r="O739" s="9">
        <f>LN(319.11)</f>
        <v>5.7655358709316831</v>
      </c>
      <c r="P739" s="9">
        <v>3.9</v>
      </c>
      <c r="Q739" s="9">
        <v>10.369828231362574</v>
      </c>
      <c r="R739" s="9"/>
      <c r="S739" s="9">
        <v>0.45444280651130697</v>
      </c>
    </row>
    <row r="740" spans="1:19" ht="15.6" x14ac:dyDescent="0.3">
      <c r="A740" s="1" t="s">
        <v>225</v>
      </c>
      <c r="B740" s="2" t="s">
        <v>145</v>
      </c>
      <c r="C740" s="1">
        <v>2018</v>
      </c>
      <c r="D740" s="4" t="s">
        <v>161</v>
      </c>
      <c r="E740" s="5"/>
      <c r="F740" s="5"/>
      <c r="G740" s="5"/>
      <c r="H740" s="5"/>
      <c r="I740">
        <v>1.3</v>
      </c>
      <c r="J740" s="1">
        <v>0.5</v>
      </c>
      <c r="K740" s="1">
        <v>0.8</v>
      </c>
      <c r="L740" s="9"/>
      <c r="M740" s="9">
        <v>17.329999999999998</v>
      </c>
      <c r="N740" s="9">
        <v>37.1</v>
      </c>
      <c r="O740" s="9">
        <f>LN(358.79)</f>
        <v>5.8827372591162019</v>
      </c>
      <c r="P740" s="9">
        <v>0.9</v>
      </c>
      <c r="Q740" s="9">
        <v>10.700408991312528</v>
      </c>
      <c r="R740" s="9">
        <v>0.5</v>
      </c>
      <c r="S740" s="9">
        <v>0.53285707846937391</v>
      </c>
    </row>
    <row r="741" spans="1:19" ht="15.6" x14ac:dyDescent="0.3">
      <c r="A741" s="1" t="s">
        <v>225</v>
      </c>
      <c r="B741" s="2" t="s">
        <v>145</v>
      </c>
      <c r="C741" s="1">
        <v>2019</v>
      </c>
      <c r="D741" s="4" t="s">
        <v>161</v>
      </c>
      <c r="E741" s="5"/>
      <c r="F741" s="5"/>
      <c r="G741" s="5"/>
      <c r="H741" s="5"/>
      <c r="I741">
        <v>1.3</v>
      </c>
      <c r="J741" s="1">
        <v>0.5</v>
      </c>
      <c r="K741" s="1">
        <v>0.8</v>
      </c>
      <c r="L741" s="9">
        <v>2.1800000000000002</v>
      </c>
      <c r="M741" s="9">
        <v>15.63</v>
      </c>
      <c r="N741" s="9">
        <v>20.53</v>
      </c>
      <c r="O741" s="9">
        <f>LN(365.18)</f>
        <v>5.9003903827085873</v>
      </c>
      <c r="P741" s="12">
        <v>0.7</v>
      </c>
      <c r="Q741" s="9">
        <v>10.936084674806935</v>
      </c>
      <c r="R741" s="9">
        <v>0.5</v>
      </c>
      <c r="S741" s="9">
        <v>0.23859205583349655</v>
      </c>
    </row>
    <row r="742" spans="1:19" ht="15.6" x14ac:dyDescent="0.3">
      <c r="A742" s="1" t="s">
        <v>225</v>
      </c>
      <c r="B742" s="2" t="s">
        <v>145</v>
      </c>
      <c r="C742" s="1">
        <v>2020</v>
      </c>
      <c r="D742" s="4" t="s">
        <v>161</v>
      </c>
      <c r="E742" s="5"/>
      <c r="F742" s="5"/>
      <c r="G742" s="5"/>
      <c r="H742" s="5"/>
      <c r="I742">
        <v>2</v>
      </c>
      <c r="J742" s="1">
        <v>1</v>
      </c>
      <c r="K742" s="1">
        <v>1</v>
      </c>
      <c r="L742" s="9">
        <v>8.92</v>
      </c>
      <c r="M742" s="9">
        <v>20.59</v>
      </c>
      <c r="N742" s="9">
        <v>25.87</v>
      </c>
      <c r="O742" s="9">
        <f>LN(337.46)</f>
        <v>5.8214469847701915</v>
      </c>
      <c r="P742" s="12">
        <v>-0.1</v>
      </c>
      <c r="Q742" s="9">
        <v>11.099347536751514</v>
      </c>
      <c r="R742" s="9">
        <v>0.5</v>
      </c>
      <c r="S742" s="9">
        <v>0.20413440600048391</v>
      </c>
    </row>
    <row r="743" spans="1:19" ht="15.6" x14ac:dyDescent="0.3">
      <c r="A743" s="1" t="s">
        <v>225</v>
      </c>
      <c r="B743" s="2" t="s">
        <v>145</v>
      </c>
      <c r="C743" s="1">
        <v>2021</v>
      </c>
      <c r="D743" s="4" t="s">
        <v>161</v>
      </c>
      <c r="E743" s="5">
        <v>33.200000000000003</v>
      </c>
      <c r="F743" s="5">
        <v>18.5</v>
      </c>
      <c r="G743" s="5">
        <v>40.799999999999997</v>
      </c>
      <c r="H743" s="5">
        <v>40.9</v>
      </c>
      <c r="I743">
        <v>2</v>
      </c>
      <c r="J743" s="1">
        <v>1</v>
      </c>
      <c r="K743" s="1">
        <v>1</v>
      </c>
      <c r="L743" s="9">
        <v>17.579999999999998</v>
      </c>
      <c r="M743" s="9">
        <v>25.47</v>
      </c>
      <c r="N743" s="9">
        <v>30.03</v>
      </c>
      <c r="O743" s="9">
        <f>LN(373.78)</f>
        <v>5.9236673890421567</v>
      </c>
      <c r="P743" s="12">
        <v>2.5</v>
      </c>
      <c r="Q743" s="9">
        <v>11.349947606651318</v>
      </c>
      <c r="R743" s="9">
        <v>0.5</v>
      </c>
      <c r="S743" s="9">
        <v>0.15203446287119973</v>
      </c>
    </row>
    <row r="744" spans="1:19" ht="15.6" x14ac:dyDescent="0.3">
      <c r="A744" s="1" t="s">
        <v>225</v>
      </c>
      <c r="B744" s="2" t="s">
        <v>145</v>
      </c>
      <c r="C744" s="1">
        <v>2022</v>
      </c>
      <c r="D744" s="4" t="s">
        <v>161</v>
      </c>
      <c r="E744" s="5">
        <v>36.9</v>
      </c>
      <c r="F744" s="5">
        <v>22.1</v>
      </c>
      <c r="G744" s="5">
        <v>48.4</v>
      </c>
      <c r="H744" s="5">
        <v>39.5</v>
      </c>
      <c r="I744">
        <v>2</v>
      </c>
      <c r="J744" s="1">
        <v>1</v>
      </c>
      <c r="K744" s="1">
        <v>1</v>
      </c>
      <c r="L744" s="9">
        <v>9.51</v>
      </c>
      <c r="M744" s="9">
        <v>23.38</v>
      </c>
      <c r="N744" s="9">
        <v>26.9</v>
      </c>
      <c r="O744" s="9">
        <f>LN(407.61)</f>
        <v>6.0103108349043417</v>
      </c>
      <c r="P744" s="12">
        <v>3.4</v>
      </c>
      <c r="Q744" s="9">
        <v>11.540939385175411</v>
      </c>
      <c r="R744" s="9">
        <v>0.5</v>
      </c>
      <c r="S744" s="9">
        <v>0.13107612722552289</v>
      </c>
    </row>
    <row r="745" spans="1:19" ht="15.6" x14ac:dyDescent="0.3">
      <c r="A745" s="1" t="s">
        <v>225</v>
      </c>
      <c r="B745" s="2" t="s">
        <v>145</v>
      </c>
      <c r="C745" s="1">
        <v>2023</v>
      </c>
      <c r="D745" s="4" t="s">
        <v>161</v>
      </c>
      <c r="E745" s="5">
        <v>33.200000000000003</v>
      </c>
      <c r="F745" s="5">
        <v>18.5</v>
      </c>
      <c r="G745" s="5">
        <v>40.799999999999997</v>
      </c>
      <c r="H745" s="5">
        <v>40.9</v>
      </c>
      <c r="I745">
        <v>2</v>
      </c>
      <c r="J745" s="1">
        <v>1</v>
      </c>
      <c r="K745" s="1">
        <v>1</v>
      </c>
      <c r="L745" s="9">
        <v>7.98</v>
      </c>
      <c r="M745" s="9">
        <v>11.86</v>
      </c>
      <c r="N745" s="9">
        <v>13.03</v>
      </c>
      <c r="O745" s="9">
        <f>LN(399.71)</f>
        <v>5.9907392841683871</v>
      </c>
      <c r="P745" s="12">
        <v>2.5</v>
      </c>
      <c r="Q745" s="9">
        <v>11.534373796176098</v>
      </c>
      <c r="R745" s="9">
        <v>0.5</v>
      </c>
      <c r="S745" s="9">
        <v>8.9783493853261301E-2</v>
      </c>
    </row>
    <row r="746" spans="1:19" ht="15.6" x14ac:dyDescent="0.3">
      <c r="A746" s="13" t="s">
        <v>226</v>
      </c>
      <c r="B746" s="2" t="s">
        <v>146</v>
      </c>
      <c r="C746" s="1">
        <v>2016</v>
      </c>
      <c r="D746" s="4" t="s">
        <v>160</v>
      </c>
      <c r="E746" s="5"/>
      <c r="F746" s="5"/>
      <c r="G746" s="5"/>
      <c r="H746" s="5"/>
      <c r="I746">
        <v>1.3</v>
      </c>
      <c r="J746" s="1">
        <v>0.5</v>
      </c>
      <c r="K746" s="1">
        <v>0.8</v>
      </c>
      <c r="L746" s="9"/>
      <c r="M746" s="9">
        <v>5.94</v>
      </c>
      <c r="N746" s="9">
        <v>11.06</v>
      </c>
      <c r="O746" s="9">
        <f>LN(301.26)</f>
        <v>5.7079736792746694</v>
      </c>
      <c r="P746" s="12">
        <v>2.1</v>
      </c>
      <c r="Q746" s="9">
        <v>13.101268435429128</v>
      </c>
      <c r="R746" s="9">
        <v>0.42857142857142855</v>
      </c>
      <c r="S746" s="9">
        <v>0.46288016046964331</v>
      </c>
    </row>
    <row r="747" spans="1:19" ht="15.6" x14ac:dyDescent="0.3">
      <c r="A747" s="1" t="s">
        <v>226</v>
      </c>
      <c r="B747" s="2" t="s">
        <v>146</v>
      </c>
      <c r="C747" s="1">
        <v>2017</v>
      </c>
      <c r="D747" s="4" t="s">
        <v>160</v>
      </c>
      <c r="E747" s="5"/>
      <c r="F747" s="5"/>
      <c r="G747" s="5"/>
      <c r="H747" s="5"/>
      <c r="I747">
        <v>1.3</v>
      </c>
      <c r="J747" s="1">
        <v>0.5</v>
      </c>
      <c r="K747" s="1">
        <v>0.8</v>
      </c>
      <c r="L747" s="9"/>
      <c r="M747" s="9">
        <v>5.4</v>
      </c>
      <c r="N747" s="9">
        <v>12.23</v>
      </c>
      <c r="O747" s="9">
        <f>LN(319.11)</f>
        <v>5.7655358709316831</v>
      </c>
      <c r="P747" s="9">
        <v>3.9</v>
      </c>
      <c r="Q747" s="9">
        <v>13.42465668398256</v>
      </c>
      <c r="R747" s="9">
        <v>0.42857142857142855</v>
      </c>
      <c r="S747" s="9">
        <v>0.55851105503644605</v>
      </c>
    </row>
    <row r="748" spans="1:19" ht="15.6" x14ac:dyDescent="0.3">
      <c r="A748" s="1" t="s">
        <v>226</v>
      </c>
      <c r="B748" s="2" t="s">
        <v>146</v>
      </c>
      <c r="C748" s="1">
        <v>2018</v>
      </c>
      <c r="D748" s="4" t="s">
        <v>160</v>
      </c>
      <c r="E748" s="5"/>
      <c r="F748" s="5"/>
      <c r="G748" s="5"/>
      <c r="H748" s="5"/>
      <c r="I748">
        <v>1.3</v>
      </c>
      <c r="J748" s="1">
        <v>0.5</v>
      </c>
      <c r="K748" s="1">
        <v>0.8</v>
      </c>
      <c r="L748" s="9"/>
      <c r="M748" s="9">
        <v>4.84</v>
      </c>
      <c r="N748" s="9">
        <v>9.1</v>
      </c>
      <c r="O748" s="9">
        <f>LN(358.79)</f>
        <v>5.8827372591162019</v>
      </c>
      <c r="P748" s="9">
        <v>0.9</v>
      </c>
      <c r="Q748" s="9">
        <v>13.55301138439696</v>
      </c>
      <c r="R748" s="9">
        <v>0.5</v>
      </c>
      <c r="S748" s="9">
        <v>0.46824126574674924</v>
      </c>
    </row>
    <row r="749" spans="1:19" ht="15.6" x14ac:dyDescent="0.3">
      <c r="A749" s="1" t="s">
        <v>226</v>
      </c>
      <c r="B749" s="2" t="s">
        <v>146</v>
      </c>
      <c r="C749" s="1">
        <v>2019</v>
      </c>
      <c r="D749" s="4" t="s">
        <v>160</v>
      </c>
      <c r="E749" s="5"/>
      <c r="F749" s="5"/>
      <c r="G749" s="5"/>
      <c r="H749" s="5"/>
      <c r="I749">
        <v>1.1000000000000001</v>
      </c>
      <c r="J749" s="1">
        <v>0.5</v>
      </c>
      <c r="K749" s="1">
        <v>0.6</v>
      </c>
      <c r="L749" s="9"/>
      <c r="M749" s="9">
        <v>5.45</v>
      </c>
      <c r="N749" s="9">
        <v>9.27</v>
      </c>
      <c r="O749" s="9">
        <f>LN(365.18)</f>
        <v>5.9003903827085873</v>
      </c>
      <c r="P749" s="12">
        <v>0.7</v>
      </c>
      <c r="Q749" s="9">
        <v>13.508906590257961</v>
      </c>
      <c r="R749" s="9">
        <v>0.44444444444444442</v>
      </c>
      <c r="S749" s="9">
        <v>0.41254202097447895</v>
      </c>
    </row>
    <row r="750" spans="1:19" ht="15.6" x14ac:dyDescent="0.3">
      <c r="A750" s="1" t="s">
        <v>226</v>
      </c>
      <c r="B750" s="2" t="s">
        <v>146</v>
      </c>
      <c r="C750" s="1">
        <v>2020</v>
      </c>
      <c r="D750" s="4" t="s">
        <v>160</v>
      </c>
      <c r="E750" s="5"/>
      <c r="F750" s="5"/>
      <c r="G750" s="5"/>
      <c r="H750" s="5"/>
      <c r="I750">
        <v>1.1000000000000001</v>
      </c>
      <c r="J750" s="1">
        <v>0.5</v>
      </c>
      <c r="K750" s="1">
        <v>0.6</v>
      </c>
      <c r="L750" s="9"/>
      <c r="M750" s="9">
        <v>4.1100000000000003</v>
      </c>
      <c r="N750" s="9">
        <v>6.21</v>
      </c>
      <c r="O750" s="9">
        <f>LN(337.46)</f>
        <v>5.8214469847701915</v>
      </c>
      <c r="P750" s="12">
        <v>-0.1</v>
      </c>
      <c r="Q750" s="9">
        <v>13.411785934333881</v>
      </c>
      <c r="R750" s="9">
        <v>0.44444444444444442</v>
      </c>
      <c r="S750" s="9">
        <v>0.33765131141551419</v>
      </c>
    </row>
    <row r="751" spans="1:19" ht="15.6" x14ac:dyDescent="0.3">
      <c r="A751" s="1" t="s">
        <v>226</v>
      </c>
      <c r="B751" s="2" t="s">
        <v>146</v>
      </c>
      <c r="C751" s="1">
        <v>2021</v>
      </c>
      <c r="D751" s="4" t="s">
        <v>160</v>
      </c>
      <c r="E751" s="5">
        <v>50</v>
      </c>
      <c r="F751" s="5">
        <v>38.799999999999997</v>
      </c>
      <c r="G751" s="5">
        <v>73</v>
      </c>
      <c r="H751" s="5">
        <v>39.6</v>
      </c>
      <c r="I751">
        <v>2</v>
      </c>
      <c r="J751" s="1">
        <v>1</v>
      </c>
      <c r="K751" s="1">
        <v>1</v>
      </c>
      <c r="L751" s="9">
        <v>1.47</v>
      </c>
      <c r="M751" s="9">
        <v>6.82</v>
      </c>
      <c r="N751" s="9">
        <v>11.06</v>
      </c>
      <c r="O751" s="9">
        <f>LN(373.78)</f>
        <v>5.9236673890421567</v>
      </c>
      <c r="P751" s="12">
        <v>2.5</v>
      </c>
      <c r="Q751" s="9">
        <v>13.653674924378432</v>
      </c>
      <c r="R751" s="9">
        <v>0.44444444444444442</v>
      </c>
      <c r="S751" s="9">
        <v>0.38374828499578523</v>
      </c>
    </row>
    <row r="752" spans="1:19" ht="15.6" x14ac:dyDescent="0.3">
      <c r="A752" s="1" t="s">
        <v>226</v>
      </c>
      <c r="B752" s="2" t="s">
        <v>146</v>
      </c>
      <c r="C752" s="1">
        <v>2022</v>
      </c>
      <c r="D752" s="4" t="s">
        <v>160</v>
      </c>
      <c r="E752" s="5">
        <v>52.3</v>
      </c>
      <c r="F752" s="5">
        <v>47.8</v>
      </c>
      <c r="G752" s="5">
        <v>71.3</v>
      </c>
      <c r="H752" s="5">
        <v>37.6</v>
      </c>
      <c r="I752">
        <v>1.6</v>
      </c>
      <c r="J752" s="1">
        <v>1</v>
      </c>
      <c r="K752" s="1">
        <v>0.6</v>
      </c>
      <c r="L752" s="9">
        <v>1.01</v>
      </c>
      <c r="M752" s="9">
        <v>4.5</v>
      </c>
      <c r="N752" s="9">
        <v>7.69</v>
      </c>
      <c r="O752" s="9">
        <f>LN(407.61)</f>
        <v>6.0103108349043417</v>
      </c>
      <c r="P752" s="12">
        <v>3.4</v>
      </c>
      <c r="Q752" s="9">
        <v>13.655892123842273</v>
      </c>
      <c r="R752" s="9">
        <v>0.45454545454545453</v>
      </c>
      <c r="S752" s="9">
        <v>0.41469308561367041</v>
      </c>
    </row>
    <row r="753" spans="1:19" ht="15.6" x14ac:dyDescent="0.3">
      <c r="A753" s="1" t="s">
        <v>226</v>
      </c>
      <c r="B753" s="2" t="s">
        <v>146</v>
      </c>
      <c r="C753" s="1">
        <v>2023</v>
      </c>
      <c r="D753" s="4" t="s">
        <v>160</v>
      </c>
      <c r="E753" s="5">
        <v>50</v>
      </c>
      <c r="F753" s="5">
        <v>38.799999999999997</v>
      </c>
      <c r="G753" s="5">
        <v>73</v>
      </c>
      <c r="H753" s="5">
        <v>39.6</v>
      </c>
      <c r="I753">
        <v>2</v>
      </c>
      <c r="J753" s="1">
        <v>1</v>
      </c>
      <c r="K753" s="1">
        <v>1</v>
      </c>
      <c r="L753" s="9">
        <v>0.86</v>
      </c>
      <c r="M753" s="9">
        <v>4.42</v>
      </c>
      <c r="N753" s="9">
        <v>7.85</v>
      </c>
      <c r="O753" s="9">
        <f>LN(399.71)</f>
        <v>5.9907392841683871</v>
      </c>
      <c r="P753" s="12">
        <v>2.5</v>
      </c>
      <c r="Q753" s="9">
        <v>13.699346336321167</v>
      </c>
      <c r="R753" s="9">
        <v>0.5</v>
      </c>
      <c r="S753" s="9">
        <v>0.43628141956512706</v>
      </c>
    </row>
    <row r="754" spans="1:19" ht="15.6" x14ac:dyDescent="0.3">
      <c r="A754" s="13" t="s">
        <v>227</v>
      </c>
      <c r="B754" s="2" t="s">
        <v>147</v>
      </c>
      <c r="C754" s="1">
        <v>2016</v>
      </c>
      <c r="D754" s="4" t="s">
        <v>161</v>
      </c>
      <c r="E754" s="5">
        <v>45</v>
      </c>
      <c r="F754" s="5">
        <v>43</v>
      </c>
      <c r="G754" s="5">
        <v>32.200000000000003</v>
      </c>
      <c r="H754" s="5">
        <v>66.400000000000006</v>
      </c>
      <c r="I754">
        <v>0</v>
      </c>
      <c r="J754" s="1">
        <v>0</v>
      </c>
      <c r="K754" s="1">
        <v>0</v>
      </c>
      <c r="L754" s="9">
        <v>2.31</v>
      </c>
      <c r="M754" s="9">
        <v>17.23</v>
      </c>
      <c r="N754" s="9">
        <v>24.77</v>
      </c>
      <c r="O754" s="9">
        <f>LN(301.26)</f>
        <v>5.7079736792746694</v>
      </c>
      <c r="P754" s="12">
        <v>2.1</v>
      </c>
      <c r="Q754" s="9">
        <v>11.337202092204501</v>
      </c>
      <c r="R754" s="9">
        <v>0.16700000000000001</v>
      </c>
      <c r="S754" s="9">
        <v>0.30413065506347975</v>
      </c>
    </row>
    <row r="755" spans="1:19" ht="15.6" x14ac:dyDescent="0.3">
      <c r="A755" s="13" t="s">
        <v>227</v>
      </c>
      <c r="B755" s="2" t="s">
        <v>147</v>
      </c>
      <c r="C755" s="1">
        <v>2017</v>
      </c>
      <c r="D755" s="4" t="s">
        <v>161</v>
      </c>
      <c r="E755" s="5">
        <v>50.7</v>
      </c>
      <c r="F755" s="5">
        <v>58</v>
      </c>
      <c r="G755" s="5">
        <v>46.5</v>
      </c>
      <c r="H755" s="5">
        <v>49.4</v>
      </c>
      <c r="I755">
        <v>0</v>
      </c>
      <c r="J755" s="1">
        <v>0</v>
      </c>
      <c r="K755" s="1">
        <v>0</v>
      </c>
      <c r="L755" s="9">
        <v>5.98</v>
      </c>
      <c r="M755" s="9">
        <v>17</v>
      </c>
      <c r="N755" s="9">
        <v>25.14</v>
      </c>
      <c r="O755" s="9">
        <f>LN(319.11)</f>
        <v>5.7655358709316831</v>
      </c>
      <c r="P755" s="9">
        <v>3.9</v>
      </c>
      <c r="Q755" s="9">
        <v>11.697086994642072</v>
      </c>
      <c r="R755" s="9">
        <v>0.16700000000000001</v>
      </c>
      <c r="S755" s="9">
        <v>0.32374543548963991</v>
      </c>
    </row>
    <row r="756" spans="1:19" ht="15.6" x14ac:dyDescent="0.3">
      <c r="A756" s="13" t="s">
        <v>227</v>
      </c>
      <c r="B756" s="2" t="s">
        <v>147</v>
      </c>
      <c r="C756" s="1">
        <v>2018</v>
      </c>
      <c r="D756" s="4" t="s">
        <v>161</v>
      </c>
      <c r="E756" s="5">
        <v>58.7</v>
      </c>
      <c r="F756" s="5">
        <v>50.2</v>
      </c>
      <c r="G756" s="5">
        <v>53.9</v>
      </c>
      <c r="H756" s="5">
        <v>74.7</v>
      </c>
      <c r="I756">
        <v>0</v>
      </c>
      <c r="J756" s="1">
        <v>0</v>
      </c>
      <c r="K756" s="1">
        <v>0</v>
      </c>
      <c r="L756" s="9">
        <v>5.14</v>
      </c>
      <c r="M756" s="9">
        <v>18.309999999999999</v>
      </c>
      <c r="N756" s="9">
        <v>25.51</v>
      </c>
      <c r="O756" s="9">
        <f>LN(358.79)</f>
        <v>5.8827372591162019</v>
      </c>
      <c r="P756" s="9">
        <v>0.9</v>
      </c>
      <c r="Q756" s="9">
        <v>11.843710129401805</v>
      </c>
      <c r="R756" s="9">
        <v>0.28599999999999998</v>
      </c>
      <c r="S756" s="9">
        <v>0.28224358145482237</v>
      </c>
    </row>
    <row r="757" spans="1:19" ht="15.6" x14ac:dyDescent="0.3">
      <c r="A757" s="13" t="s">
        <v>227</v>
      </c>
      <c r="B757" s="2" t="s">
        <v>147</v>
      </c>
      <c r="C757" s="1">
        <v>2019</v>
      </c>
      <c r="D757" s="4" t="s">
        <v>161</v>
      </c>
      <c r="E757" s="5">
        <v>57.7</v>
      </c>
      <c r="F757" s="5">
        <v>53.1</v>
      </c>
      <c r="G757" s="5">
        <v>64.900000000000006</v>
      </c>
      <c r="H757" s="5">
        <v>51.5</v>
      </c>
      <c r="I757">
        <v>0.6</v>
      </c>
      <c r="J757" s="1">
        <v>0</v>
      </c>
      <c r="K757" s="1">
        <v>0.6</v>
      </c>
      <c r="L757" s="9">
        <v>6.05</v>
      </c>
      <c r="M757" s="9">
        <v>12.92</v>
      </c>
      <c r="N757" s="9">
        <v>16.510000000000002</v>
      </c>
      <c r="O757" s="9">
        <f>LN(365.18)</f>
        <v>5.9003903827085873</v>
      </c>
      <c r="P757" s="12">
        <v>0.7</v>
      </c>
      <c r="Q757" s="9">
        <v>11.922926934879557</v>
      </c>
      <c r="R757" s="9">
        <v>0.28599999999999998</v>
      </c>
      <c r="S757" s="9">
        <v>0.21774996349928991</v>
      </c>
    </row>
    <row r="758" spans="1:19" ht="15.6" x14ac:dyDescent="0.3">
      <c r="A758" s="13" t="s">
        <v>227</v>
      </c>
      <c r="B758" s="2" t="s">
        <v>147</v>
      </c>
      <c r="C758" s="1">
        <v>2020</v>
      </c>
      <c r="D758" s="4" t="s">
        <v>161</v>
      </c>
      <c r="E758" s="5">
        <v>61</v>
      </c>
      <c r="F758" s="5">
        <v>56.7</v>
      </c>
      <c r="G758" s="5">
        <v>65.3</v>
      </c>
      <c r="H758" s="5">
        <v>58.8</v>
      </c>
      <c r="I758">
        <v>1.3</v>
      </c>
      <c r="J758" s="1">
        <v>0.5</v>
      </c>
      <c r="K758" s="1">
        <v>0.8</v>
      </c>
      <c r="L758" s="9">
        <v>9.1300000000000008</v>
      </c>
      <c r="M758" s="9">
        <v>13.9</v>
      </c>
      <c r="N758" s="9">
        <v>18.559999999999999</v>
      </c>
      <c r="O758" s="9">
        <f>LN(337.46)</f>
        <v>5.8214469847701915</v>
      </c>
      <c r="P758" s="12">
        <v>-0.1</v>
      </c>
      <c r="Q758" s="9">
        <v>12.151489735759881</v>
      </c>
      <c r="R758" s="9">
        <v>0.28599999999999998</v>
      </c>
      <c r="S758" s="9">
        <v>0.2512726005407232</v>
      </c>
    </row>
    <row r="759" spans="1:19" ht="15.6" x14ac:dyDescent="0.3">
      <c r="A759" s="13" t="s">
        <v>227</v>
      </c>
      <c r="B759" s="2" t="s">
        <v>147</v>
      </c>
      <c r="C759" s="1">
        <v>2021</v>
      </c>
      <c r="D759" s="4" t="s">
        <v>161</v>
      </c>
      <c r="E759" s="5">
        <v>49.8</v>
      </c>
      <c r="F759" s="5">
        <v>31.3</v>
      </c>
      <c r="G759" s="5">
        <v>49.3</v>
      </c>
      <c r="H759" s="5">
        <v>72.7</v>
      </c>
      <c r="I759">
        <v>1.3</v>
      </c>
      <c r="J759" s="1">
        <v>0.5</v>
      </c>
      <c r="K759" s="1">
        <v>0.8</v>
      </c>
      <c r="L759" s="9">
        <v>9.93</v>
      </c>
      <c r="M759" s="9">
        <v>17.920000000000002</v>
      </c>
      <c r="N759" s="9">
        <v>23.85</v>
      </c>
      <c r="O759" s="9">
        <f>LN(373.78)</f>
        <v>5.9236673890421567</v>
      </c>
      <c r="P759" s="12">
        <v>2.5</v>
      </c>
      <c r="Q759" s="9">
        <v>12.331753301609982</v>
      </c>
      <c r="R759" s="9">
        <v>0.28599999999999998</v>
      </c>
      <c r="S759" s="9">
        <v>0.24888881049809511</v>
      </c>
    </row>
    <row r="760" spans="1:19" ht="15.6" x14ac:dyDescent="0.3">
      <c r="A760" s="13" t="s">
        <v>227</v>
      </c>
      <c r="B760" s="2" t="s">
        <v>147</v>
      </c>
      <c r="C760" s="1">
        <v>2022</v>
      </c>
      <c r="D760" s="4" t="s">
        <v>161</v>
      </c>
      <c r="E760" s="5">
        <v>65.5</v>
      </c>
      <c r="F760" s="5">
        <v>68.8</v>
      </c>
      <c r="G760" s="5">
        <v>56.8</v>
      </c>
      <c r="H760" s="5">
        <v>76</v>
      </c>
      <c r="I760">
        <v>1.3</v>
      </c>
      <c r="J760" s="1">
        <v>0.5</v>
      </c>
      <c r="K760" s="1">
        <v>0.8</v>
      </c>
      <c r="L760" s="9">
        <v>6.35</v>
      </c>
      <c r="M760" s="9">
        <v>17.64</v>
      </c>
      <c r="N760" s="9">
        <v>22.99</v>
      </c>
      <c r="O760" s="9">
        <f>LN(407.61)</f>
        <v>6.0103108349043417</v>
      </c>
      <c r="P760" s="12">
        <v>3.4</v>
      </c>
      <c r="Q760" s="9">
        <v>12.460362088507535</v>
      </c>
      <c r="R760" s="9">
        <v>0.44400000000000001</v>
      </c>
      <c r="S760" s="9">
        <v>0.23245795997813182</v>
      </c>
    </row>
    <row r="761" spans="1:19" ht="15.6" x14ac:dyDescent="0.3">
      <c r="A761" s="13" t="s">
        <v>227</v>
      </c>
      <c r="B761" s="2" t="s">
        <v>147</v>
      </c>
      <c r="C761" s="1">
        <v>2023</v>
      </c>
      <c r="D761" s="4" t="s">
        <v>161</v>
      </c>
      <c r="E761" s="5">
        <v>49.8</v>
      </c>
      <c r="F761" s="5">
        <v>31.3</v>
      </c>
      <c r="G761" s="5">
        <v>49.3</v>
      </c>
      <c r="H761" s="5">
        <v>72.7</v>
      </c>
      <c r="I761">
        <v>1.3</v>
      </c>
      <c r="J761" s="1">
        <v>0.5</v>
      </c>
      <c r="K761" s="1">
        <v>0.8</v>
      </c>
      <c r="L761" s="9">
        <v>5.91</v>
      </c>
      <c r="M761" s="9">
        <v>11</v>
      </c>
      <c r="N761" s="9">
        <v>13.4</v>
      </c>
      <c r="O761" s="9">
        <f>LN(399.71)</f>
        <v>5.9907392841683871</v>
      </c>
      <c r="P761" s="12">
        <v>2.5</v>
      </c>
      <c r="Q761" s="9">
        <v>12.445243077521193</v>
      </c>
      <c r="R761" s="9">
        <v>0.5</v>
      </c>
      <c r="S761" s="9">
        <v>0.17916934014068706</v>
      </c>
    </row>
    <row r="762" spans="1:19" ht="15.6" x14ac:dyDescent="0.3">
      <c r="A762" s="13" t="s">
        <v>228</v>
      </c>
      <c r="B762" s="2" t="s">
        <v>148</v>
      </c>
      <c r="C762" s="1">
        <v>2016</v>
      </c>
      <c r="D762" s="4" t="s">
        <v>163</v>
      </c>
      <c r="E762" s="5"/>
      <c r="F762" s="5"/>
      <c r="G762" s="5"/>
      <c r="H762" s="5"/>
      <c r="I762">
        <v>0</v>
      </c>
      <c r="J762" s="1">
        <v>0</v>
      </c>
      <c r="K762" s="1">
        <v>0</v>
      </c>
      <c r="L762" s="9"/>
      <c r="M762" s="9">
        <v>1.19</v>
      </c>
      <c r="N762" s="9">
        <v>4.8499999999999996</v>
      </c>
      <c r="O762" s="9">
        <f>LN(301.26)</f>
        <v>5.7079736792746694</v>
      </c>
      <c r="P762" s="12">
        <v>2.1</v>
      </c>
      <c r="Q762" s="9">
        <v>13.40744306659227</v>
      </c>
      <c r="R762" s="9">
        <v>0.4</v>
      </c>
      <c r="S762" s="9">
        <v>0.75369284771120137</v>
      </c>
    </row>
    <row r="763" spans="1:19" ht="15.6" x14ac:dyDescent="0.3">
      <c r="A763" s="1" t="s">
        <v>228</v>
      </c>
      <c r="B763" s="2" t="s">
        <v>148</v>
      </c>
      <c r="C763" s="1">
        <v>2017</v>
      </c>
      <c r="D763" s="4" t="s">
        <v>163</v>
      </c>
      <c r="E763" s="5"/>
      <c r="F763" s="5"/>
      <c r="G763" s="5"/>
      <c r="H763" s="5"/>
      <c r="I763">
        <v>1.3</v>
      </c>
      <c r="J763" s="1">
        <v>0.5</v>
      </c>
      <c r="K763" s="1">
        <v>0.8</v>
      </c>
      <c r="L763" s="9">
        <v>0.24</v>
      </c>
      <c r="M763" s="9">
        <v>0.61</v>
      </c>
      <c r="N763" s="9">
        <v>3.48</v>
      </c>
      <c r="O763" s="9">
        <f>LN(319.11)</f>
        <v>5.7655358709316831</v>
      </c>
      <c r="P763" s="9">
        <v>3.9</v>
      </c>
      <c r="Q763" s="9">
        <v>13.883465424243505</v>
      </c>
      <c r="R763" s="9">
        <v>0.4</v>
      </c>
      <c r="S763" s="9">
        <v>0.82570303937992207</v>
      </c>
    </row>
    <row r="764" spans="1:19" ht="15.6" x14ac:dyDescent="0.3">
      <c r="A764" s="1" t="s">
        <v>228</v>
      </c>
      <c r="B764" s="2" t="s">
        <v>148</v>
      </c>
      <c r="C764" s="1">
        <v>2018</v>
      </c>
      <c r="D764" s="4" t="s">
        <v>163</v>
      </c>
      <c r="E764" s="5"/>
      <c r="F764" s="5"/>
      <c r="G764" s="5"/>
      <c r="H764" s="5"/>
      <c r="I764">
        <v>2</v>
      </c>
      <c r="J764" s="1">
        <v>1</v>
      </c>
      <c r="K764" s="1">
        <v>1</v>
      </c>
      <c r="L764" s="9">
        <v>0.11</v>
      </c>
      <c r="M764" s="9">
        <v>0.43</v>
      </c>
      <c r="N764" s="9">
        <v>2.76</v>
      </c>
      <c r="O764" s="9">
        <f>LN(358.79)</f>
        <v>5.8827372591162019</v>
      </c>
      <c r="P764" s="9">
        <v>0.9</v>
      </c>
      <c r="Q764" s="9">
        <v>13.976078886275909</v>
      </c>
      <c r="R764" s="9">
        <v>0.5</v>
      </c>
      <c r="S764" s="9">
        <v>0.84511036657133753</v>
      </c>
    </row>
    <row r="765" spans="1:19" ht="15.6" x14ac:dyDescent="0.3">
      <c r="A765" s="1" t="s">
        <v>228</v>
      </c>
      <c r="B765" s="2" t="s">
        <v>148</v>
      </c>
      <c r="C765" s="1">
        <v>2019</v>
      </c>
      <c r="D765" s="4" t="s">
        <v>163</v>
      </c>
      <c r="E765" s="5"/>
      <c r="F765" s="5"/>
      <c r="G765" s="5"/>
      <c r="H765" s="5"/>
      <c r="I765">
        <v>1.5</v>
      </c>
      <c r="J765" s="1">
        <v>0.5</v>
      </c>
      <c r="K765" s="1">
        <v>1</v>
      </c>
      <c r="L765" s="9">
        <v>0.04</v>
      </c>
      <c r="M765" s="9">
        <v>-0.62</v>
      </c>
      <c r="N765" s="9">
        <v>-2.96</v>
      </c>
      <c r="O765" s="9">
        <f>LN(365.18)</f>
        <v>5.9003903827085873</v>
      </c>
      <c r="P765" s="12">
        <v>0.7</v>
      </c>
      <c r="Q765" s="9">
        <v>14.081525075222363</v>
      </c>
      <c r="R765" s="9">
        <v>0.5</v>
      </c>
      <c r="S765" s="9">
        <v>0.78997036989348179</v>
      </c>
    </row>
    <row r="766" spans="1:19" ht="15.6" x14ac:dyDescent="0.3">
      <c r="A766" s="1" t="s">
        <v>228</v>
      </c>
      <c r="B766" s="2" t="s">
        <v>148</v>
      </c>
      <c r="C766" s="1">
        <v>2020</v>
      </c>
      <c r="D766" s="4" t="s">
        <v>163</v>
      </c>
      <c r="E766" s="5"/>
      <c r="F766" s="5"/>
      <c r="G766" s="5"/>
      <c r="H766" s="5"/>
      <c r="I766">
        <v>1.3</v>
      </c>
      <c r="J766" s="1">
        <v>0.5</v>
      </c>
      <c r="K766" s="1">
        <v>0.8</v>
      </c>
      <c r="L766" s="9">
        <v>0.13</v>
      </c>
      <c r="M766" s="9">
        <v>-1.51</v>
      </c>
      <c r="N766" s="9">
        <v>-8.5500000000000007</v>
      </c>
      <c r="O766" s="9">
        <f>LN(337.46)</f>
        <v>5.8214469847701915</v>
      </c>
      <c r="P766" s="12">
        <v>-0.1</v>
      </c>
      <c r="Q766" s="9">
        <v>14.202897231501321</v>
      </c>
      <c r="R766" s="9">
        <v>0.5</v>
      </c>
      <c r="S766" s="9">
        <v>0.82396278390307409</v>
      </c>
    </row>
    <row r="767" spans="1:19" ht="15.6" x14ac:dyDescent="0.3">
      <c r="A767" s="1" t="s">
        <v>228</v>
      </c>
      <c r="B767" s="2" t="s">
        <v>148</v>
      </c>
      <c r="C767" s="1">
        <v>2021</v>
      </c>
      <c r="D767" s="4" t="s">
        <v>163</v>
      </c>
      <c r="E767" s="5">
        <v>31.6</v>
      </c>
      <c r="F767" s="5">
        <v>32.6</v>
      </c>
      <c r="G767" s="5">
        <v>23.2</v>
      </c>
      <c r="H767" s="5">
        <v>43.4</v>
      </c>
      <c r="I767">
        <v>2</v>
      </c>
      <c r="J767" s="1">
        <v>1</v>
      </c>
      <c r="K767" s="1">
        <v>1</v>
      </c>
      <c r="L767" s="9">
        <v>0.14000000000000001</v>
      </c>
      <c r="M767" s="9">
        <v>-1.8</v>
      </c>
      <c r="N767" s="9">
        <v>-11.78</v>
      </c>
      <c r="O767" s="9">
        <f>LN(373.78)</f>
        <v>5.9236673890421567</v>
      </c>
      <c r="P767" s="12">
        <v>2.5</v>
      </c>
      <c r="Q767" s="9">
        <v>14.241237664965512</v>
      </c>
      <c r="R767" s="9">
        <v>0.5</v>
      </c>
      <c r="S767" s="9">
        <v>0.8476837113404756</v>
      </c>
    </row>
    <row r="768" spans="1:19" ht="15.6" x14ac:dyDescent="0.3">
      <c r="A768" s="1" t="s">
        <v>228</v>
      </c>
      <c r="B768" s="2" t="s">
        <v>148</v>
      </c>
      <c r="C768" s="1">
        <v>2022</v>
      </c>
      <c r="D768" s="4" t="s">
        <v>163</v>
      </c>
      <c r="E768" s="5">
        <v>48.3</v>
      </c>
      <c r="F768" s="5">
        <v>51.2</v>
      </c>
      <c r="G768" s="5">
        <v>43.8</v>
      </c>
      <c r="H768" s="5">
        <v>52.1</v>
      </c>
      <c r="I768">
        <v>2</v>
      </c>
      <c r="J768" s="1">
        <v>1</v>
      </c>
      <c r="K768" s="1">
        <v>1</v>
      </c>
      <c r="L768" s="9">
        <v>0.16</v>
      </c>
      <c r="M768" s="9">
        <v>1.34</v>
      </c>
      <c r="N768" s="9">
        <v>9.24</v>
      </c>
      <c r="O768" s="9">
        <f>LN(407.61)</f>
        <v>6.0103108349043417</v>
      </c>
      <c r="P768" s="12">
        <v>3.4</v>
      </c>
      <c r="Q768" s="9">
        <v>14.313177991192482</v>
      </c>
      <c r="R768" s="9">
        <v>0.5</v>
      </c>
      <c r="S768" s="9">
        <v>0.85483743494966202</v>
      </c>
    </row>
    <row r="769" spans="1:19" ht="15.6" x14ac:dyDescent="0.3">
      <c r="A769" s="1" t="s">
        <v>228</v>
      </c>
      <c r="B769" s="2" t="s">
        <v>148</v>
      </c>
      <c r="C769" s="1">
        <v>2023</v>
      </c>
      <c r="D769" s="4" t="s">
        <v>163</v>
      </c>
      <c r="E769" s="5">
        <v>31.6</v>
      </c>
      <c r="F769" s="5">
        <v>32.6</v>
      </c>
      <c r="G769" s="5">
        <v>23.2</v>
      </c>
      <c r="H769" s="5">
        <v>43.4</v>
      </c>
      <c r="I769">
        <v>2</v>
      </c>
      <c r="J769" s="1">
        <v>1</v>
      </c>
      <c r="K769" s="1">
        <v>1</v>
      </c>
      <c r="L769" s="9">
        <v>0.4</v>
      </c>
      <c r="M769" s="9">
        <v>-1.79</v>
      </c>
      <c r="N769" s="9">
        <v>-14.94</v>
      </c>
      <c r="O769" s="9">
        <f>LN(399.71)</f>
        <v>5.9907392841683871</v>
      </c>
      <c r="P769" s="12">
        <v>2.5</v>
      </c>
      <c r="Q769" s="9">
        <v>14.274386882745057</v>
      </c>
      <c r="R769" s="9">
        <v>0.57099999999999995</v>
      </c>
      <c r="S769" s="9">
        <v>0.88035606508268049</v>
      </c>
    </row>
    <row r="770" spans="1:19" ht="15.6" x14ac:dyDescent="0.3">
      <c r="A770" s="13" t="s">
        <v>229</v>
      </c>
      <c r="B770" s="2" t="s">
        <v>149</v>
      </c>
      <c r="C770" s="1">
        <v>2016</v>
      </c>
      <c r="D770" s="4" t="s">
        <v>167</v>
      </c>
      <c r="E770" s="5">
        <v>45.7</v>
      </c>
      <c r="F770" s="5">
        <v>65.900000000000006</v>
      </c>
      <c r="G770" s="5">
        <v>30.6</v>
      </c>
      <c r="H770" s="5">
        <v>31</v>
      </c>
      <c r="I770">
        <v>0.9</v>
      </c>
      <c r="J770" s="1">
        <v>0.5</v>
      </c>
      <c r="K770" s="1">
        <v>0.4</v>
      </c>
      <c r="L770" s="9">
        <v>3.37</v>
      </c>
      <c r="M770" s="9">
        <v>14.65</v>
      </c>
      <c r="N770" s="9">
        <v>30.79</v>
      </c>
      <c r="O770" s="9">
        <f>LN(301.26)</f>
        <v>5.7079736792746694</v>
      </c>
      <c r="P770" s="12">
        <v>2.1</v>
      </c>
      <c r="Q770" s="9">
        <v>13.784513061298039</v>
      </c>
      <c r="R770" s="9">
        <v>0.23100000000000001</v>
      </c>
      <c r="S770" s="9">
        <v>0.52428420242646046</v>
      </c>
    </row>
    <row r="771" spans="1:19" ht="15.6" x14ac:dyDescent="0.3">
      <c r="A771" s="1" t="s">
        <v>229</v>
      </c>
      <c r="B771" s="2" t="s">
        <v>149</v>
      </c>
      <c r="C771" s="1">
        <v>2017</v>
      </c>
      <c r="D771" s="4" t="s">
        <v>167</v>
      </c>
      <c r="E771" s="5">
        <v>50.5</v>
      </c>
      <c r="F771" s="5">
        <v>66.5</v>
      </c>
      <c r="G771" s="5">
        <v>36.5</v>
      </c>
      <c r="H771" s="5">
        <v>41.6</v>
      </c>
      <c r="I771">
        <v>0.2</v>
      </c>
      <c r="J771" s="1">
        <v>0</v>
      </c>
      <c r="K771" s="1">
        <v>0.2</v>
      </c>
      <c r="L771" s="9">
        <v>2.4500000000000002</v>
      </c>
      <c r="M771" s="9">
        <v>12.66</v>
      </c>
      <c r="N771" s="9">
        <v>27.88</v>
      </c>
      <c r="O771" s="9">
        <f>LN(319.11)</f>
        <v>5.7655358709316831</v>
      </c>
      <c r="P771" s="9">
        <v>3.9</v>
      </c>
      <c r="Q771" s="9">
        <v>14.052082740261552</v>
      </c>
      <c r="R771" s="9">
        <v>0.23100000000000001</v>
      </c>
      <c r="S771" s="9">
        <v>0.54590381711565006</v>
      </c>
    </row>
    <row r="772" spans="1:19" ht="15.6" x14ac:dyDescent="0.3">
      <c r="A772" s="1" t="s">
        <v>229</v>
      </c>
      <c r="B772" s="2" t="s">
        <v>149</v>
      </c>
      <c r="C772" s="1">
        <v>2018</v>
      </c>
      <c r="D772" s="4" t="s">
        <v>167</v>
      </c>
      <c r="E772" s="5">
        <v>52.8</v>
      </c>
      <c r="F772" s="5">
        <v>73.5</v>
      </c>
      <c r="G772" s="5">
        <v>36.799999999999997</v>
      </c>
      <c r="H772" s="5">
        <v>38.4</v>
      </c>
      <c r="I772">
        <v>1.6</v>
      </c>
      <c r="J772" s="1">
        <v>1</v>
      </c>
      <c r="K772" s="1">
        <v>0.6</v>
      </c>
      <c r="L772" s="9">
        <v>2.4300000000000002</v>
      </c>
      <c r="M772" s="9">
        <v>10.49</v>
      </c>
      <c r="N772" s="9">
        <v>22.09</v>
      </c>
      <c r="O772" s="9">
        <f>LN(358.79)</f>
        <v>5.8827372591162019</v>
      </c>
      <c r="P772" s="9">
        <v>0.9</v>
      </c>
      <c r="Q772" s="9">
        <v>14.021948138388902</v>
      </c>
      <c r="R772" s="9">
        <v>0.308</v>
      </c>
      <c r="S772" s="9">
        <v>0.52528245956409014</v>
      </c>
    </row>
    <row r="773" spans="1:19" ht="15.6" x14ac:dyDescent="0.3">
      <c r="A773" s="1" t="s">
        <v>229</v>
      </c>
      <c r="B773" s="2" t="s">
        <v>149</v>
      </c>
      <c r="C773" s="1">
        <v>2019</v>
      </c>
      <c r="D773" s="4" t="s">
        <v>167</v>
      </c>
      <c r="E773" s="5">
        <v>55.9</v>
      </c>
      <c r="F773" s="5">
        <v>66.400000000000006</v>
      </c>
      <c r="G773" s="5">
        <v>46.6</v>
      </c>
      <c r="H773" s="5">
        <v>50.1</v>
      </c>
      <c r="I773">
        <v>2</v>
      </c>
      <c r="J773" s="1">
        <v>1</v>
      </c>
      <c r="K773" s="1">
        <v>1</v>
      </c>
      <c r="L773" s="9">
        <v>2.8</v>
      </c>
      <c r="M773" s="9">
        <v>11.51</v>
      </c>
      <c r="N773" s="9">
        <v>23.08</v>
      </c>
      <c r="O773" s="9">
        <f>LN(365.18)</f>
        <v>5.9003903827085873</v>
      </c>
      <c r="P773" s="12">
        <v>0.7</v>
      </c>
      <c r="Q773" s="9">
        <v>14.041890466619883</v>
      </c>
      <c r="R773" s="9">
        <v>0.308</v>
      </c>
      <c r="S773" s="9">
        <v>0.5011315320257852</v>
      </c>
    </row>
    <row r="774" spans="1:19" ht="15.6" x14ac:dyDescent="0.3">
      <c r="A774" s="1" t="s">
        <v>229</v>
      </c>
      <c r="B774" s="2" t="s">
        <v>149</v>
      </c>
      <c r="C774" s="1">
        <v>2020</v>
      </c>
      <c r="D774" s="4" t="s">
        <v>167</v>
      </c>
      <c r="E774" s="5">
        <v>58.1</v>
      </c>
      <c r="F774" s="5">
        <v>66.599999999999994</v>
      </c>
      <c r="G774" s="5">
        <v>51.8</v>
      </c>
      <c r="H774" s="5">
        <v>51.6</v>
      </c>
      <c r="I774">
        <v>2</v>
      </c>
      <c r="J774" s="1">
        <v>1</v>
      </c>
      <c r="K774" s="1">
        <v>1</v>
      </c>
      <c r="L774" s="9">
        <v>2.79</v>
      </c>
      <c r="M774" s="9">
        <v>12.44</v>
      </c>
      <c r="N774" s="9">
        <v>23.13</v>
      </c>
      <c r="O774" s="9">
        <f>LN(337.46)</f>
        <v>5.8214469847701915</v>
      </c>
      <c r="P774" s="12">
        <v>-0.1</v>
      </c>
      <c r="Q774" s="9">
        <v>14.086415935365695</v>
      </c>
      <c r="R774" s="9">
        <v>0.308</v>
      </c>
      <c r="S774" s="9">
        <v>0.46231440924805761</v>
      </c>
    </row>
    <row r="775" spans="1:19" ht="15.6" x14ac:dyDescent="0.3">
      <c r="A775" s="1" t="s">
        <v>229</v>
      </c>
      <c r="B775" s="2" t="s">
        <v>149</v>
      </c>
      <c r="C775" s="1">
        <v>2021</v>
      </c>
      <c r="D775" s="4" t="s">
        <v>167</v>
      </c>
      <c r="E775" s="5">
        <v>73.099999999999994</v>
      </c>
      <c r="F775" s="5">
        <v>57.4</v>
      </c>
      <c r="G775" s="5">
        <v>80.599999999999994</v>
      </c>
      <c r="H775" s="5">
        <v>78.099999999999994</v>
      </c>
      <c r="I775">
        <v>2</v>
      </c>
      <c r="J775" s="1">
        <v>1</v>
      </c>
      <c r="K775" s="1">
        <v>1</v>
      </c>
      <c r="L775" s="9">
        <v>2.5499999999999998</v>
      </c>
      <c r="M775" s="9">
        <v>14.93</v>
      </c>
      <c r="N775" s="9">
        <v>25.85</v>
      </c>
      <c r="O775" s="9">
        <f>LN(373.78)</f>
        <v>5.9236673890421567</v>
      </c>
      <c r="P775" s="12">
        <v>2.5</v>
      </c>
      <c r="Q775" s="9">
        <v>14.075384801825036</v>
      </c>
      <c r="R775" s="9">
        <v>0.308</v>
      </c>
      <c r="S775" s="9">
        <v>0.4225886377429407</v>
      </c>
    </row>
    <row r="776" spans="1:19" ht="15.6" x14ac:dyDescent="0.3">
      <c r="A776" s="1" t="s">
        <v>229</v>
      </c>
      <c r="B776" s="2" t="s">
        <v>149</v>
      </c>
      <c r="C776" s="1">
        <v>2022</v>
      </c>
      <c r="D776" s="4" t="s">
        <v>167</v>
      </c>
      <c r="E776" s="5">
        <v>73.599999999999994</v>
      </c>
      <c r="F776" s="5">
        <v>62.7</v>
      </c>
      <c r="G776" s="5">
        <v>79.099999999999994</v>
      </c>
      <c r="H776" s="5">
        <v>76.599999999999994</v>
      </c>
      <c r="I776">
        <v>2</v>
      </c>
      <c r="J776" s="1">
        <v>1</v>
      </c>
      <c r="K776" s="1">
        <v>1</v>
      </c>
      <c r="L776" s="9">
        <v>2.4500000000000002</v>
      </c>
      <c r="M776" s="9">
        <v>13.25</v>
      </c>
      <c r="N776" s="9">
        <v>21.37</v>
      </c>
      <c r="O776" s="9">
        <f>LN(407.61)</f>
        <v>6.0103108349043417</v>
      </c>
      <c r="P776" s="12">
        <v>3.4</v>
      </c>
      <c r="Q776" s="9">
        <v>13.995201992349958</v>
      </c>
      <c r="R776" s="9">
        <v>0.375</v>
      </c>
      <c r="S776" s="9">
        <v>0.38005577984840178</v>
      </c>
    </row>
    <row r="777" spans="1:19" ht="15.6" x14ac:dyDescent="0.3">
      <c r="A777" s="1" t="s">
        <v>229</v>
      </c>
      <c r="B777" s="2" t="s">
        <v>149</v>
      </c>
      <c r="C777" s="1">
        <v>2023</v>
      </c>
      <c r="D777" s="4" t="s">
        <v>167</v>
      </c>
      <c r="E777" s="5">
        <v>73.099999999999994</v>
      </c>
      <c r="F777" s="5">
        <v>57.4</v>
      </c>
      <c r="G777" s="5">
        <v>80.599999999999994</v>
      </c>
      <c r="H777" s="5">
        <v>78.099999999999994</v>
      </c>
      <c r="I777">
        <v>2</v>
      </c>
      <c r="J777" s="1">
        <v>1</v>
      </c>
      <c r="K777" s="1">
        <v>1</v>
      </c>
      <c r="L777" s="9">
        <v>2.33</v>
      </c>
      <c r="M777" s="9">
        <v>14.6</v>
      </c>
      <c r="N777" s="9">
        <v>22.14</v>
      </c>
      <c r="O777" s="9">
        <f>LN(399.71)</f>
        <v>5.9907392841683871</v>
      </c>
      <c r="P777" s="12">
        <v>2.5</v>
      </c>
      <c r="Q777" s="9">
        <v>13.966387026263501</v>
      </c>
      <c r="R777" s="9">
        <v>0.375</v>
      </c>
      <c r="S777" s="9">
        <v>0.34070686492617724</v>
      </c>
    </row>
    <row r="778" spans="1:19" ht="15.6" x14ac:dyDescent="0.3">
      <c r="A778" s="13" t="s">
        <v>230</v>
      </c>
      <c r="B778" s="2" t="s">
        <v>150</v>
      </c>
      <c r="C778" s="1">
        <v>2016</v>
      </c>
      <c r="D778" s="4" t="s">
        <v>159</v>
      </c>
      <c r="E778" s="5">
        <v>40.5</v>
      </c>
      <c r="F778" s="5">
        <v>56.1</v>
      </c>
      <c r="G778" s="5">
        <v>39.6</v>
      </c>
      <c r="H778" s="5">
        <v>13.6</v>
      </c>
      <c r="I778">
        <v>0</v>
      </c>
      <c r="J778" s="1">
        <v>0</v>
      </c>
      <c r="K778" s="1">
        <v>0</v>
      </c>
      <c r="L778" s="9">
        <v>0.54</v>
      </c>
      <c r="M778" s="9">
        <v>3.13</v>
      </c>
      <c r="N778" s="9">
        <v>8.19</v>
      </c>
      <c r="O778" s="9">
        <f>LN(301.26)</f>
        <v>5.7079736792746694</v>
      </c>
      <c r="P778" s="12">
        <v>2.1</v>
      </c>
      <c r="Q778" s="9">
        <v>14.166237145457094</v>
      </c>
      <c r="R778" s="9">
        <v>0.42899999999999999</v>
      </c>
      <c r="S778" s="9">
        <v>0.61748089393767613</v>
      </c>
    </row>
    <row r="779" spans="1:19" ht="15.6" x14ac:dyDescent="0.3">
      <c r="A779" s="1" t="s">
        <v>230</v>
      </c>
      <c r="B779" s="2" t="s">
        <v>150</v>
      </c>
      <c r="C779" s="1">
        <v>2017</v>
      </c>
      <c r="D779" s="4" t="s">
        <v>159</v>
      </c>
      <c r="E779" s="5">
        <v>46.4</v>
      </c>
      <c r="F779" s="5">
        <v>74.099999999999994</v>
      </c>
      <c r="G779" s="5">
        <v>32.9</v>
      </c>
      <c r="H779" s="5">
        <v>16</v>
      </c>
      <c r="I779">
        <v>0</v>
      </c>
      <c r="J779" s="1">
        <v>0</v>
      </c>
      <c r="K779" s="1">
        <v>0</v>
      </c>
      <c r="L779" s="9">
        <v>0.72</v>
      </c>
      <c r="M779" s="9">
        <v>4.53</v>
      </c>
      <c r="N779" s="9">
        <v>11.1</v>
      </c>
      <c r="O779" s="9">
        <f>LN(319.11)</f>
        <v>5.7655358709316831</v>
      </c>
      <c r="P779" s="9">
        <v>3.9</v>
      </c>
      <c r="Q779" s="9">
        <v>14.320090115609251</v>
      </c>
      <c r="R779" s="9">
        <v>0.42899999999999999</v>
      </c>
      <c r="S779" s="9">
        <v>0.59178500853413862</v>
      </c>
    </row>
    <row r="780" spans="1:19" ht="15.6" x14ac:dyDescent="0.3">
      <c r="A780" s="1" t="s">
        <v>230</v>
      </c>
      <c r="B780" s="2" t="s">
        <v>150</v>
      </c>
      <c r="C780" s="1">
        <v>2018</v>
      </c>
      <c r="D780" s="4" t="s">
        <v>159</v>
      </c>
      <c r="E780" s="5">
        <v>48.6</v>
      </c>
      <c r="F780" s="5">
        <v>64.5</v>
      </c>
      <c r="G780" s="5">
        <v>44.3</v>
      </c>
      <c r="H780" s="5">
        <v>26.2</v>
      </c>
      <c r="I780">
        <v>0.6</v>
      </c>
      <c r="J780" s="1">
        <v>0</v>
      </c>
      <c r="K780" s="1">
        <v>0.6</v>
      </c>
      <c r="L780" s="9">
        <v>0.56000000000000005</v>
      </c>
      <c r="M780" s="9">
        <v>2.91</v>
      </c>
      <c r="N780" s="9">
        <v>6.48</v>
      </c>
      <c r="O780" s="9">
        <f>LN(358.79)</f>
        <v>5.8827372591162019</v>
      </c>
      <c r="P780" s="9">
        <v>0.9</v>
      </c>
      <c r="Q780" s="9">
        <v>14.497010168174603</v>
      </c>
      <c r="R780" s="9">
        <v>0.44400000000000001</v>
      </c>
      <c r="S780" s="9">
        <v>0.5516713542825924</v>
      </c>
    </row>
    <row r="781" spans="1:19" ht="15.6" x14ac:dyDescent="0.3">
      <c r="A781" s="1" t="s">
        <v>230</v>
      </c>
      <c r="B781" s="2" t="s">
        <v>150</v>
      </c>
      <c r="C781" s="1">
        <v>2019</v>
      </c>
      <c r="D781" s="4" t="s">
        <v>159</v>
      </c>
      <c r="E781" s="5">
        <v>44.5</v>
      </c>
      <c r="F781" s="5">
        <v>63.2</v>
      </c>
      <c r="G781" s="5">
        <v>37.4</v>
      </c>
      <c r="H781" s="5">
        <v>21</v>
      </c>
      <c r="I781">
        <v>0.6</v>
      </c>
      <c r="J781" s="1">
        <v>0</v>
      </c>
      <c r="K781" s="1">
        <v>0.6</v>
      </c>
      <c r="L781" s="9">
        <v>0.71</v>
      </c>
      <c r="M781" s="9">
        <v>2.21</v>
      </c>
      <c r="N781" s="9">
        <v>5.56</v>
      </c>
      <c r="O781" s="9">
        <f>LN(365.18)</f>
        <v>5.9003903827085873</v>
      </c>
      <c r="P781" s="12">
        <v>0.7</v>
      </c>
      <c r="Q781" s="9">
        <v>14.660244276605169</v>
      </c>
      <c r="R781" s="9">
        <v>0.44400000000000001</v>
      </c>
      <c r="S781" s="9">
        <v>0.60339406313940525</v>
      </c>
    </row>
    <row r="782" spans="1:19" ht="15.6" x14ac:dyDescent="0.3">
      <c r="A782" s="1" t="s">
        <v>230</v>
      </c>
      <c r="B782" s="2" t="s">
        <v>150</v>
      </c>
      <c r="C782" s="1">
        <v>2020</v>
      </c>
      <c r="D782" s="4" t="s">
        <v>159</v>
      </c>
      <c r="E782" s="5">
        <v>52.1</v>
      </c>
      <c r="F782" s="5">
        <v>65.8</v>
      </c>
      <c r="G782" s="5">
        <v>47.9</v>
      </c>
      <c r="H782" s="5">
        <v>33.5</v>
      </c>
      <c r="I782">
        <v>0.6</v>
      </c>
      <c r="J782" s="1">
        <v>0</v>
      </c>
      <c r="K782" s="1">
        <v>0.6</v>
      </c>
      <c r="L782" s="9">
        <v>0.48</v>
      </c>
      <c r="M782" s="9">
        <v>2.65</v>
      </c>
      <c r="N782" s="9">
        <v>7.82</v>
      </c>
      <c r="O782" s="9">
        <f>LN(337.46)</f>
        <v>5.8214469847701915</v>
      </c>
      <c r="P782" s="12">
        <v>-0.1</v>
      </c>
      <c r="Q782" s="9">
        <v>14.891167715413344</v>
      </c>
      <c r="R782" s="9">
        <v>0.44400000000000001</v>
      </c>
      <c r="S782" s="9">
        <v>0.66128225234053195</v>
      </c>
    </row>
    <row r="783" spans="1:19" ht="15.6" x14ac:dyDescent="0.3">
      <c r="A783" s="1" t="s">
        <v>230</v>
      </c>
      <c r="B783" s="2" t="s">
        <v>150</v>
      </c>
      <c r="C783" s="1">
        <v>2021</v>
      </c>
      <c r="D783" s="4" t="s">
        <v>159</v>
      </c>
      <c r="E783" s="5">
        <v>76</v>
      </c>
      <c r="F783" s="5">
        <v>67.3</v>
      </c>
      <c r="G783" s="5">
        <v>87.2</v>
      </c>
      <c r="H783" s="5">
        <v>70.3</v>
      </c>
      <c r="I783">
        <v>0.6</v>
      </c>
      <c r="J783" s="1">
        <v>0</v>
      </c>
      <c r="K783" s="1">
        <v>0.6</v>
      </c>
      <c r="L783" s="9">
        <v>0.4</v>
      </c>
      <c r="M783" s="9">
        <v>2.64</v>
      </c>
      <c r="N783" s="9">
        <v>8.4600000000000009</v>
      </c>
      <c r="O783" s="9">
        <f>LN(373.78)</f>
        <v>5.9236673890421567</v>
      </c>
      <c r="P783" s="12">
        <v>2.5</v>
      </c>
      <c r="Q783" s="9">
        <v>15.104672955839648</v>
      </c>
      <c r="R783" s="9">
        <v>0.5</v>
      </c>
      <c r="S783" s="9">
        <v>0.68826047008811919</v>
      </c>
    </row>
    <row r="784" spans="1:19" ht="15.6" x14ac:dyDescent="0.3">
      <c r="A784" s="1" t="s">
        <v>230</v>
      </c>
      <c r="B784" s="2" t="s">
        <v>150</v>
      </c>
      <c r="C784" s="1">
        <v>2022</v>
      </c>
      <c r="D784" s="4" t="s">
        <v>159</v>
      </c>
      <c r="E784" s="5">
        <v>84.8</v>
      </c>
      <c r="F784" s="5">
        <v>85.3</v>
      </c>
      <c r="G784" s="5">
        <v>92.9</v>
      </c>
      <c r="H784" s="5">
        <v>72.5</v>
      </c>
      <c r="I784">
        <v>1.3</v>
      </c>
      <c r="J784" s="1">
        <v>0.5</v>
      </c>
      <c r="K784" s="1">
        <v>0.8</v>
      </c>
      <c r="L784" s="9">
        <v>0.43</v>
      </c>
      <c r="M784" s="9">
        <v>3.06</v>
      </c>
      <c r="N784" s="9">
        <v>9.1199999999999992</v>
      </c>
      <c r="O784" s="9">
        <f>LN(407.61)</f>
        <v>6.0103108349043417</v>
      </c>
      <c r="P784" s="12">
        <v>3.4</v>
      </c>
      <c r="Q784" s="9">
        <v>15.32715855859843</v>
      </c>
      <c r="R784" s="9">
        <v>0.5</v>
      </c>
      <c r="S784" s="9">
        <v>0.66467623704925038</v>
      </c>
    </row>
    <row r="785" spans="1:19" ht="15.6" x14ac:dyDescent="0.3">
      <c r="A785" s="1" t="s">
        <v>230</v>
      </c>
      <c r="B785" s="2" t="s">
        <v>150</v>
      </c>
      <c r="C785" s="1">
        <v>2023</v>
      </c>
      <c r="D785" s="4" t="s">
        <v>159</v>
      </c>
      <c r="E785" s="5">
        <v>76</v>
      </c>
      <c r="F785" s="5">
        <v>67.3</v>
      </c>
      <c r="G785" s="5">
        <v>87.2</v>
      </c>
      <c r="H785" s="5">
        <v>70.3</v>
      </c>
      <c r="I785">
        <v>1.3</v>
      </c>
      <c r="J785" s="1">
        <v>0.5</v>
      </c>
      <c r="K785" s="1">
        <v>0.8</v>
      </c>
      <c r="L785" s="9">
        <v>0.27</v>
      </c>
      <c r="M785" s="9">
        <v>3.36</v>
      </c>
      <c r="N785" s="9">
        <v>12.09</v>
      </c>
      <c r="O785" s="9">
        <f>LN(399.71)</f>
        <v>5.9907392841683871</v>
      </c>
      <c r="P785" s="12">
        <v>2.5</v>
      </c>
      <c r="Q785" s="9">
        <v>15.618098025587917</v>
      </c>
      <c r="R785" s="9">
        <v>0.54500000000000004</v>
      </c>
      <c r="S785" s="9">
        <v>0.72197827617037913</v>
      </c>
    </row>
    <row r="786" spans="1:19" ht="15.6" x14ac:dyDescent="0.3">
      <c r="A786" s="13" t="s">
        <v>231</v>
      </c>
      <c r="B786" s="2" t="s">
        <v>151</v>
      </c>
      <c r="C786" s="1">
        <v>2016</v>
      </c>
      <c r="D786" s="4" t="s">
        <v>164</v>
      </c>
      <c r="E786" s="5">
        <v>59</v>
      </c>
      <c r="F786" s="5">
        <v>61.9</v>
      </c>
      <c r="G786" s="5">
        <v>65.2</v>
      </c>
      <c r="H786" s="5">
        <v>47.1</v>
      </c>
      <c r="I786">
        <v>0</v>
      </c>
      <c r="J786" s="1">
        <v>0</v>
      </c>
      <c r="K786" s="1">
        <v>0</v>
      </c>
      <c r="L786" s="9">
        <v>0.27</v>
      </c>
      <c r="M786" s="9">
        <v>1.36</v>
      </c>
      <c r="N786" s="9">
        <v>4.16</v>
      </c>
      <c r="O786" s="9">
        <f>LN(301.26)</f>
        <v>5.7079736792746694</v>
      </c>
      <c r="P786" s="12">
        <v>2.1</v>
      </c>
      <c r="Q786" s="9">
        <v>16.63227404789361</v>
      </c>
      <c r="R786" s="9">
        <v>0.33333333333333331</v>
      </c>
      <c r="S786" s="9">
        <v>0.67276470700798441</v>
      </c>
    </row>
    <row r="787" spans="1:19" ht="15.6" x14ac:dyDescent="0.3">
      <c r="A787" s="1" t="s">
        <v>231</v>
      </c>
      <c r="B787" s="2" t="s">
        <v>151</v>
      </c>
      <c r="C787" s="1">
        <v>2017</v>
      </c>
      <c r="D787" s="4" t="s">
        <v>164</v>
      </c>
      <c r="E787" s="5">
        <v>59.8</v>
      </c>
      <c r="F787" s="5">
        <v>65.5</v>
      </c>
      <c r="G787" s="5">
        <v>70.099999999999994</v>
      </c>
      <c r="H787" s="5">
        <v>39.1</v>
      </c>
      <c r="I787">
        <v>0</v>
      </c>
      <c r="J787" s="1">
        <v>0</v>
      </c>
      <c r="K787" s="1">
        <v>0</v>
      </c>
      <c r="L787" s="9">
        <v>0.21</v>
      </c>
      <c r="M787" s="9">
        <v>1.0900000000000001</v>
      </c>
      <c r="N787" s="9">
        <v>3.55</v>
      </c>
      <c r="O787" s="9">
        <f>LN(319.11)</f>
        <v>5.7655358709316831</v>
      </c>
      <c r="P787" s="9">
        <v>3.9</v>
      </c>
      <c r="Q787" s="9">
        <v>16.671538597477948</v>
      </c>
      <c r="R787" s="9">
        <v>0.33333333333333331</v>
      </c>
      <c r="S787" s="9">
        <v>0.69302550299822197</v>
      </c>
    </row>
    <row r="788" spans="1:19" ht="15.6" x14ac:dyDescent="0.3">
      <c r="A788" s="1" t="s">
        <v>231</v>
      </c>
      <c r="B788" s="2" t="s">
        <v>151</v>
      </c>
      <c r="C788" s="1">
        <v>2018</v>
      </c>
      <c r="D788" s="4" t="s">
        <v>164</v>
      </c>
      <c r="E788" s="5">
        <v>55.8</v>
      </c>
      <c r="F788" s="5">
        <v>63.6</v>
      </c>
      <c r="G788" s="5">
        <v>69.400000000000006</v>
      </c>
      <c r="H788" s="5">
        <v>28.3</v>
      </c>
      <c r="I788">
        <v>1.3</v>
      </c>
      <c r="J788" s="1">
        <v>0.5</v>
      </c>
      <c r="K788" s="1">
        <v>0.8</v>
      </c>
      <c r="L788" s="9">
        <v>0.17</v>
      </c>
      <c r="M788" s="9">
        <v>0.48</v>
      </c>
      <c r="N788" s="9">
        <v>1.58</v>
      </c>
      <c r="O788" s="9">
        <f>LN(358.79)</f>
        <v>5.8827372591162019</v>
      </c>
      <c r="P788" s="9">
        <v>0.9</v>
      </c>
      <c r="Q788" s="9">
        <v>16.687155786030306</v>
      </c>
      <c r="R788" s="9">
        <v>0.33333333333333331</v>
      </c>
      <c r="S788" s="9">
        <v>0.69779768085230554</v>
      </c>
    </row>
    <row r="789" spans="1:19" ht="15.6" x14ac:dyDescent="0.3">
      <c r="A789" s="1" t="s">
        <v>231</v>
      </c>
      <c r="B789" s="2" t="s">
        <v>151</v>
      </c>
      <c r="C789" s="1">
        <v>2019</v>
      </c>
      <c r="D789" s="4" t="s">
        <v>164</v>
      </c>
      <c r="E789" s="5">
        <v>53.7</v>
      </c>
      <c r="F789" s="5">
        <v>59.9</v>
      </c>
      <c r="G789" s="5">
        <v>70.5</v>
      </c>
      <c r="H789" s="5">
        <v>22.9</v>
      </c>
      <c r="I789">
        <v>1.5</v>
      </c>
      <c r="J789" s="1">
        <v>0.5</v>
      </c>
      <c r="K789" s="1">
        <v>1</v>
      </c>
      <c r="L789" s="9">
        <v>0.16</v>
      </c>
      <c r="M789" s="9">
        <v>0.32</v>
      </c>
      <c r="N789" s="9">
        <v>1.1599999999999999</v>
      </c>
      <c r="O789" s="9">
        <f>LN(365.18)</f>
        <v>5.9003903827085873</v>
      </c>
      <c r="P789" s="12">
        <v>0.7</v>
      </c>
      <c r="Q789" s="9">
        <v>16.734586653906529</v>
      </c>
      <c r="R789" s="9">
        <v>0.33333333333333331</v>
      </c>
      <c r="S789" s="9">
        <v>0.72767711796995982</v>
      </c>
    </row>
    <row r="790" spans="1:19" ht="15.6" x14ac:dyDescent="0.3">
      <c r="A790" s="1" t="s">
        <v>231</v>
      </c>
      <c r="B790" s="2" t="s">
        <v>151</v>
      </c>
      <c r="C790" s="1">
        <v>2020</v>
      </c>
      <c r="D790" s="4" t="s">
        <v>164</v>
      </c>
      <c r="E790" s="5">
        <v>62.8</v>
      </c>
      <c r="F790" s="5">
        <v>78.2</v>
      </c>
      <c r="G790" s="5">
        <v>79.3</v>
      </c>
      <c r="H790" s="5">
        <v>24.3</v>
      </c>
      <c r="I790">
        <v>1.5</v>
      </c>
      <c r="J790" s="1">
        <v>0.5</v>
      </c>
      <c r="K790" s="1">
        <v>1</v>
      </c>
      <c r="L790" s="9">
        <v>0.13</v>
      </c>
      <c r="M790" s="9">
        <v>-0.27</v>
      </c>
      <c r="N790" s="9">
        <v>-1.21</v>
      </c>
      <c r="O790" s="9">
        <f>LN(337.46)</f>
        <v>5.8214469847701915</v>
      </c>
      <c r="P790" s="12">
        <v>-0.1</v>
      </c>
      <c r="Q790" s="9">
        <v>16.608743832393753</v>
      </c>
      <c r="R790" s="9">
        <v>0.33333333333333331</v>
      </c>
      <c r="S790" s="9">
        <v>0.77670896804688894</v>
      </c>
    </row>
    <row r="791" spans="1:19" ht="15.6" x14ac:dyDescent="0.3">
      <c r="A791" s="1" t="s">
        <v>231</v>
      </c>
      <c r="B791" s="2" t="s">
        <v>151</v>
      </c>
      <c r="C791" s="1">
        <v>2021</v>
      </c>
      <c r="D791" s="4" t="s">
        <v>164</v>
      </c>
      <c r="E791" s="5">
        <v>66.3</v>
      </c>
      <c r="F791" s="5">
        <v>67.099999999999994</v>
      </c>
      <c r="G791" s="5">
        <v>64.599999999999994</v>
      </c>
      <c r="H791" s="5">
        <v>67.2</v>
      </c>
      <c r="I791">
        <v>1.5</v>
      </c>
      <c r="J791" s="1">
        <v>0.5</v>
      </c>
      <c r="K791" s="1">
        <v>1</v>
      </c>
      <c r="L791" s="9">
        <v>0.1</v>
      </c>
      <c r="M791" s="9">
        <v>-0.5</v>
      </c>
      <c r="N791" s="9">
        <v>-2.25</v>
      </c>
      <c r="O791" s="9">
        <f>LN(373.78)</f>
        <v>5.9236673890421567</v>
      </c>
      <c r="P791" s="12">
        <v>2.5</v>
      </c>
      <c r="Q791" s="9">
        <v>16.693598342513852</v>
      </c>
      <c r="R791" s="9">
        <v>0.33333333333333331</v>
      </c>
      <c r="S791" s="9">
        <v>0.77880890365884237</v>
      </c>
    </row>
    <row r="792" spans="1:19" ht="15.6" x14ac:dyDescent="0.3">
      <c r="A792" s="1" t="s">
        <v>231</v>
      </c>
      <c r="B792" s="2" t="s">
        <v>151</v>
      </c>
      <c r="C792" s="1">
        <v>2022</v>
      </c>
      <c r="D792" s="4" t="s">
        <v>164</v>
      </c>
      <c r="E792" s="5">
        <v>58.9</v>
      </c>
      <c r="F792" s="5">
        <v>68.7</v>
      </c>
      <c r="G792" s="5">
        <v>44.8</v>
      </c>
      <c r="H792" s="5">
        <v>61.4</v>
      </c>
      <c r="I792">
        <v>1.5</v>
      </c>
      <c r="J792" s="1">
        <v>0.5</v>
      </c>
      <c r="K792" s="1">
        <v>1</v>
      </c>
      <c r="L792" s="9">
        <v>0.09</v>
      </c>
      <c r="M792" s="9">
        <v>0.95</v>
      </c>
      <c r="N792" s="9">
        <v>3.91</v>
      </c>
      <c r="O792" s="9">
        <f>LN(407.61)</f>
        <v>6.0103108349043417</v>
      </c>
      <c r="P792" s="12">
        <v>3.4</v>
      </c>
      <c r="Q792" s="9">
        <v>16.622904852296784</v>
      </c>
      <c r="R792" s="9">
        <v>0.33333333333333331</v>
      </c>
      <c r="S792" s="9">
        <v>0.75620144852074889</v>
      </c>
    </row>
    <row r="793" spans="1:19" ht="15.6" x14ac:dyDescent="0.3">
      <c r="A793" s="1" t="s">
        <v>231</v>
      </c>
      <c r="B793" s="2" t="s">
        <v>151</v>
      </c>
      <c r="C793" s="1">
        <v>2023</v>
      </c>
      <c r="D793" s="4" t="s">
        <v>164</v>
      </c>
      <c r="E793" s="5">
        <v>66.3</v>
      </c>
      <c r="F793" s="5">
        <v>67.099999999999994</v>
      </c>
      <c r="G793" s="5">
        <v>64.599999999999994</v>
      </c>
      <c r="H793" s="5">
        <v>67.2</v>
      </c>
      <c r="I793">
        <v>1.5</v>
      </c>
      <c r="J793" s="1">
        <v>0.5</v>
      </c>
      <c r="K793" s="1">
        <v>1</v>
      </c>
      <c r="L793" s="9">
        <v>0.14000000000000001</v>
      </c>
      <c r="M793" s="9">
        <v>1.35</v>
      </c>
      <c r="N793" s="9">
        <v>5.45</v>
      </c>
      <c r="O793" s="9">
        <f>LN(399.71)</f>
        <v>5.9907392841683871</v>
      </c>
      <c r="P793" s="12">
        <v>2.5</v>
      </c>
      <c r="Q793" s="9">
        <v>16.672542790126631</v>
      </c>
      <c r="R793" s="9">
        <v>0.33333333333333331</v>
      </c>
      <c r="S793" s="9">
        <v>0.75309179632461798</v>
      </c>
    </row>
    <row r="794" spans="1:19" ht="15.6" x14ac:dyDescent="0.3">
      <c r="A794" s="13" t="s">
        <v>232</v>
      </c>
      <c r="B794" s="2" t="s">
        <v>152</v>
      </c>
      <c r="C794" s="1">
        <v>2016</v>
      </c>
      <c r="D794" s="4" t="s">
        <v>164</v>
      </c>
      <c r="E794" s="5"/>
      <c r="F794" s="5"/>
      <c r="G794" s="5"/>
      <c r="H794" s="5"/>
      <c r="I794">
        <v>0.4</v>
      </c>
      <c r="J794" s="1">
        <v>0</v>
      </c>
      <c r="K794" s="1">
        <v>0.4</v>
      </c>
      <c r="L794" s="9">
        <v>0.26</v>
      </c>
      <c r="M794" s="9">
        <v>2.46</v>
      </c>
      <c r="N794" s="9">
        <v>8.33</v>
      </c>
      <c r="O794" s="9">
        <f>LN(301.26)</f>
        <v>5.7079736792746694</v>
      </c>
      <c r="P794" s="12">
        <v>2.1</v>
      </c>
      <c r="Q794" s="9">
        <v>16.190502262332529</v>
      </c>
      <c r="R794" s="9">
        <v>0.33333333333333331</v>
      </c>
      <c r="S794" s="9">
        <v>0.70509548760646057</v>
      </c>
    </row>
    <row r="795" spans="1:19" ht="15.6" x14ac:dyDescent="0.3">
      <c r="A795" s="13" t="s">
        <v>232</v>
      </c>
      <c r="B795" s="2" t="s">
        <v>152</v>
      </c>
      <c r="C795" s="1">
        <v>2017</v>
      </c>
      <c r="D795" s="4" t="s">
        <v>164</v>
      </c>
      <c r="E795" s="5"/>
      <c r="F795" s="5"/>
      <c r="G795" s="5"/>
      <c r="H795" s="5"/>
      <c r="I795">
        <v>0</v>
      </c>
      <c r="J795" s="1">
        <v>0</v>
      </c>
      <c r="K795" s="1">
        <v>0</v>
      </c>
      <c r="L795" s="9">
        <v>0.24</v>
      </c>
      <c r="M795" s="9">
        <v>1.43</v>
      </c>
      <c r="N795" s="9">
        <v>5.14</v>
      </c>
      <c r="O795" s="9">
        <f>LN(319.11)</f>
        <v>5.7655358709316831</v>
      </c>
      <c r="P795" s="9">
        <v>3.9</v>
      </c>
      <c r="Q795" s="9">
        <v>16.239817762702234</v>
      </c>
      <c r="R795" s="9">
        <v>0.33333333333333331</v>
      </c>
      <c r="S795" s="9">
        <v>0.72185167483856161</v>
      </c>
    </row>
    <row r="796" spans="1:19" ht="15.6" x14ac:dyDescent="0.3">
      <c r="A796" s="13" t="s">
        <v>232</v>
      </c>
      <c r="B796" s="2" t="s">
        <v>152</v>
      </c>
      <c r="C796" s="1">
        <v>2018</v>
      </c>
      <c r="D796" s="4" t="s">
        <v>164</v>
      </c>
      <c r="E796" s="5"/>
      <c r="F796" s="5"/>
      <c r="G796" s="5"/>
      <c r="H796" s="5"/>
      <c r="I796">
        <v>0</v>
      </c>
      <c r="J796" s="1">
        <v>0</v>
      </c>
      <c r="K796" s="1">
        <v>0</v>
      </c>
      <c r="L796" s="9">
        <v>0.18</v>
      </c>
      <c r="M796" s="9">
        <v>1.34</v>
      </c>
      <c r="N796" s="9">
        <v>4.74</v>
      </c>
      <c r="O796" s="9">
        <f>LN(358.79)</f>
        <v>5.8827372591162019</v>
      </c>
      <c r="P796" s="9">
        <v>0.9</v>
      </c>
      <c r="Q796" s="9">
        <v>16.254282776500325</v>
      </c>
      <c r="R796" s="9">
        <v>0.33333333333333331</v>
      </c>
      <c r="S796" s="9">
        <v>0.7174794089133546</v>
      </c>
    </row>
    <row r="797" spans="1:19" ht="15.6" x14ac:dyDescent="0.3">
      <c r="A797" s="13" t="s">
        <v>232</v>
      </c>
      <c r="B797" s="2" t="s">
        <v>152</v>
      </c>
      <c r="C797" s="1">
        <v>2019</v>
      </c>
      <c r="D797" s="4" t="s">
        <v>164</v>
      </c>
      <c r="E797" s="5"/>
      <c r="F797" s="5"/>
      <c r="G797" s="5"/>
      <c r="H797" s="5"/>
      <c r="I797">
        <v>0.6</v>
      </c>
      <c r="J797" s="1">
        <v>0</v>
      </c>
      <c r="K797" s="1">
        <v>0.6</v>
      </c>
      <c r="L797" s="9">
        <v>0.15</v>
      </c>
      <c r="M797" s="9">
        <v>1.03</v>
      </c>
      <c r="N797" s="9">
        <v>3.7</v>
      </c>
      <c r="O797" s="9">
        <f>LN(365.18)</f>
        <v>5.9003903827085873</v>
      </c>
      <c r="P797" s="12">
        <v>0.7</v>
      </c>
      <c r="Q797" s="9">
        <v>16.22888996674795</v>
      </c>
      <c r="R797" s="9">
        <v>0.33333333333333331</v>
      </c>
      <c r="S797" s="9">
        <v>0.72185355593367528</v>
      </c>
    </row>
    <row r="798" spans="1:19" ht="15.6" x14ac:dyDescent="0.3">
      <c r="A798" s="13" t="s">
        <v>232</v>
      </c>
      <c r="B798" s="2" t="s">
        <v>152</v>
      </c>
      <c r="C798" s="1">
        <v>2020</v>
      </c>
      <c r="D798" s="4" t="s">
        <v>164</v>
      </c>
      <c r="E798" s="5"/>
      <c r="F798" s="5"/>
      <c r="G798" s="5"/>
      <c r="H798" s="5"/>
      <c r="I798">
        <v>2</v>
      </c>
      <c r="J798" s="1">
        <v>1</v>
      </c>
      <c r="K798" s="1">
        <v>1</v>
      </c>
      <c r="L798" s="9">
        <v>0.12</v>
      </c>
      <c r="M798" s="9">
        <v>0.14000000000000001</v>
      </c>
      <c r="N798" s="9">
        <v>0.56000000000000005</v>
      </c>
      <c r="O798" s="9">
        <f>LN(337.46)</f>
        <v>5.8214469847701915</v>
      </c>
      <c r="P798" s="12">
        <v>-0.1</v>
      </c>
      <c r="Q798" s="9">
        <v>16.21463988718352</v>
      </c>
      <c r="R798" s="9">
        <v>0.33333333333333331</v>
      </c>
      <c r="S798" s="9">
        <v>0.74452201431632192</v>
      </c>
    </row>
    <row r="799" spans="1:19" ht="15.6" x14ac:dyDescent="0.3">
      <c r="A799" s="13" t="s">
        <v>232</v>
      </c>
      <c r="B799" s="2" t="s">
        <v>152</v>
      </c>
      <c r="C799" s="1">
        <v>2021</v>
      </c>
      <c r="D799" s="4" t="s">
        <v>164</v>
      </c>
      <c r="E799" s="5">
        <v>58.2</v>
      </c>
      <c r="F799" s="5">
        <v>70.3</v>
      </c>
      <c r="G799" s="5">
        <v>48.1</v>
      </c>
      <c r="H799" s="5">
        <v>50.8</v>
      </c>
      <c r="I799">
        <v>2</v>
      </c>
      <c r="J799" s="1">
        <v>1</v>
      </c>
      <c r="K799" s="1">
        <v>1</v>
      </c>
      <c r="L799" s="9">
        <v>0.11</v>
      </c>
      <c r="M799" s="9">
        <v>-0.28000000000000003</v>
      </c>
      <c r="N799" s="9">
        <v>-1.1399999999999999</v>
      </c>
      <c r="O799" s="9">
        <f>LN(373.78)</f>
        <v>5.9236673890421567</v>
      </c>
      <c r="P799" s="12">
        <v>2.5</v>
      </c>
      <c r="Q799" s="9">
        <v>16.344050845895492</v>
      </c>
      <c r="R799" s="9">
        <v>0.33333333333333331</v>
      </c>
      <c r="S799" s="9">
        <v>0.75213460979266777</v>
      </c>
    </row>
    <row r="800" spans="1:19" ht="15.6" x14ac:dyDescent="0.3">
      <c r="A800" s="13" t="s">
        <v>232</v>
      </c>
      <c r="B800" s="2" t="s">
        <v>152</v>
      </c>
      <c r="C800" s="1">
        <v>2022</v>
      </c>
      <c r="D800" s="4" t="s">
        <v>164</v>
      </c>
      <c r="E800" s="5">
        <v>48.2</v>
      </c>
      <c r="F800" s="5">
        <v>61.5</v>
      </c>
      <c r="G800" s="5">
        <v>41.5</v>
      </c>
      <c r="H800" s="5">
        <v>34</v>
      </c>
      <c r="I800">
        <v>2</v>
      </c>
      <c r="J800" s="1">
        <v>1</v>
      </c>
      <c r="K800" s="1">
        <v>1</v>
      </c>
      <c r="L800" s="9">
        <v>0.11</v>
      </c>
      <c r="M800" s="9">
        <v>2.88</v>
      </c>
      <c r="N800" s="9">
        <v>10.31</v>
      </c>
      <c r="O800" s="9">
        <f>LN(407.61)</f>
        <v>6.0103108349043417</v>
      </c>
      <c r="P800" s="12">
        <v>3.4</v>
      </c>
      <c r="Q800" s="9">
        <v>16.270844462913534</v>
      </c>
      <c r="R800" s="9">
        <v>0.33333333333333331</v>
      </c>
      <c r="S800" s="9">
        <v>0.72077375022134582</v>
      </c>
    </row>
    <row r="801" spans="1:19" ht="15.6" x14ac:dyDescent="0.3">
      <c r="A801" s="13" t="s">
        <v>232</v>
      </c>
      <c r="B801" s="2" t="s">
        <v>152</v>
      </c>
      <c r="C801" s="1">
        <v>2023</v>
      </c>
      <c r="D801" s="4" t="s">
        <v>164</v>
      </c>
      <c r="E801" s="5">
        <v>58.2</v>
      </c>
      <c r="F801" s="5">
        <v>70.3</v>
      </c>
      <c r="G801" s="5">
        <v>48.1</v>
      </c>
      <c r="H801" s="5">
        <v>50.8</v>
      </c>
      <c r="I801">
        <v>2</v>
      </c>
      <c r="J801" s="1">
        <v>1</v>
      </c>
      <c r="K801" s="1">
        <v>1</v>
      </c>
      <c r="L801" s="9">
        <v>0.18</v>
      </c>
      <c r="M801" s="9">
        <v>3.43</v>
      </c>
      <c r="N801" s="9">
        <v>12.37</v>
      </c>
      <c r="O801" s="9">
        <f>LN(399.71)</f>
        <v>5.9907392841683871</v>
      </c>
      <c r="P801" s="12">
        <v>2.5</v>
      </c>
      <c r="Q801" s="9">
        <v>16.35219852886874</v>
      </c>
      <c r="R801" s="9">
        <v>0.33333333333333331</v>
      </c>
      <c r="S801" s="9">
        <v>0.72263967978464516</v>
      </c>
    </row>
    <row r="802" spans="1:19" x14ac:dyDescent="0.3">
      <c r="L802" s="10"/>
      <c r="M802" s="10"/>
      <c r="N802" s="10"/>
      <c r="O802" s="9"/>
      <c r="P802" s="9"/>
      <c r="Q802" s="13"/>
      <c r="R802" s="13"/>
      <c r="S802" s="1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EC59-2FB2-4C53-B943-23E2BF5B811D}">
  <dimension ref="A1:F101"/>
  <sheetViews>
    <sheetView workbookViewId="0">
      <selection activeCell="B11" sqref="B11"/>
    </sheetView>
  </sheetViews>
  <sheetFormatPr defaultRowHeight="14.4" x14ac:dyDescent="0.3"/>
  <cols>
    <col min="1" max="1" width="6.6640625" bestFit="1" customWidth="1"/>
    <col min="2" max="2" width="44.33203125" bestFit="1" customWidth="1"/>
    <col min="3" max="3" width="27.44140625" bestFit="1" customWidth="1"/>
    <col min="4" max="4" width="13.77734375" bestFit="1" customWidth="1"/>
    <col min="5" max="5" width="8.44140625" bestFit="1" customWidth="1"/>
    <col min="6" max="6" width="6.109375" bestFit="1" customWidth="1"/>
  </cols>
  <sheetData>
    <row r="1" spans="1:6" x14ac:dyDescent="0.3">
      <c r="A1" s="16" t="s">
        <v>51</v>
      </c>
      <c r="B1" s="16" t="s">
        <v>52</v>
      </c>
      <c r="C1" s="16" t="s">
        <v>168</v>
      </c>
      <c r="D1" s="16" t="s">
        <v>233</v>
      </c>
      <c r="E1" s="16" t="s">
        <v>234</v>
      </c>
      <c r="F1" s="16" t="s">
        <v>235</v>
      </c>
    </row>
    <row r="2" spans="1:6" x14ac:dyDescent="0.3">
      <c r="A2" s="17" t="s">
        <v>0</v>
      </c>
      <c r="B2" s="17" t="s">
        <v>53</v>
      </c>
      <c r="C2" s="17" t="s">
        <v>154</v>
      </c>
      <c r="D2" s="17" t="s">
        <v>236</v>
      </c>
      <c r="E2" s="17" t="s">
        <v>237</v>
      </c>
      <c r="F2" s="17"/>
    </row>
    <row r="3" spans="1:6" x14ac:dyDescent="0.3">
      <c r="A3" s="17" t="s">
        <v>1</v>
      </c>
      <c r="B3" s="17" t="s">
        <v>54</v>
      </c>
      <c r="C3" s="17" t="s">
        <v>155</v>
      </c>
      <c r="D3" s="17" t="s">
        <v>236</v>
      </c>
      <c r="E3" s="17" t="s">
        <v>237</v>
      </c>
      <c r="F3" s="17"/>
    </row>
    <row r="4" spans="1:6" x14ac:dyDescent="0.3">
      <c r="A4" s="17" t="s">
        <v>2</v>
      </c>
      <c r="B4" t="s">
        <v>55</v>
      </c>
      <c r="C4" t="s">
        <v>155</v>
      </c>
      <c r="D4" t="s">
        <v>236</v>
      </c>
      <c r="E4" s="17" t="s">
        <v>237</v>
      </c>
    </row>
    <row r="5" spans="1:6" x14ac:dyDescent="0.3">
      <c r="A5" s="17" t="s">
        <v>3</v>
      </c>
      <c r="B5" t="s">
        <v>56</v>
      </c>
      <c r="C5" t="s">
        <v>155</v>
      </c>
      <c r="D5" t="s">
        <v>236</v>
      </c>
      <c r="E5" s="17" t="s">
        <v>237</v>
      </c>
    </row>
    <row r="6" spans="1:6" x14ac:dyDescent="0.3">
      <c r="A6" s="17" t="s">
        <v>4</v>
      </c>
      <c r="B6" t="s">
        <v>57</v>
      </c>
      <c r="C6" t="s">
        <v>155</v>
      </c>
      <c r="D6" t="s">
        <v>236</v>
      </c>
      <c r="E6" s="17" t="s">
        <v>237</v>
      </c>
    </row>
    <row r="7" spans="1:6" x14ac:dyDescent="0.3">
      <c r="A7" s="17" t="s">
        <v>5</v>
      </c>
      <c r="B7" t="s">
        <v>58</v>
      </c>
      <c r="C7" t="s">
        <v>156</v>
      </c>
      <c r="D7" t="s">
        <v>236</v>
      </c>
      <c r="E7" s="17" t="s">
        <v>237</v>
      </c>
    </row>
    <row r="8" spans="1:6" x14ac:dyDescent="0.3">
      <c r="A8" s="17" t="s">
        <v>6</v>
      </c>
      <c r="B8" t="s">
        <v>59</v>
      </c>
      <c r="C8" t="s">
        <v>157</v>
      </c>
      <c r="D8" t="s">
        <v>236</v>
      </c>
      <c r="E8" s="17" t="s">
        <v>237</v>
      </c>
    </row>
    <row r="9" spans="1:6" x14ac:dyDescent="0.3">
      <c r="A9" s="17" t="s">
        <v>7</v>
      </c>
      <c r="B9" t="s">
        <v>60</v>
      </c>
      <c r="C9" t="s">
        <v>155</v>
      </c>
      <c r="D9" t="s">
        <v>236</v>
      </c>
      <c r="E9" s="17" t="s">
        <v>237</v>
      </c>
    </row>
    <row r="10" spans="1:6" x14ac:dyDescent="0.3">
      <c r="A10" s="17" t="s">
        <v>8</v>
      </c>
      <c r="B10" t="s">
        <v>61</v>
      </c>
      <c r="C10" t="s">
        <v>158</v>
      </c>
      <c r="D10" t="s">
        <v>236</v>
      </c>
      <c r="E10" s="17" t="s">
        <v>237</v>
      </c>
    </row>
    <row r="11" spans="1:6" x14ac:dyDescent="0.3">
      <c r="A11" s="17" t="s">
        <v>9</v>
      </c>
      <c r="B11" t="s">
        <v>62</v>
      </c>
      <c r="C11" t="s">
        <v>159</v>
      </c>
      <c r="D11" t="s">
        <v>236</v>
      </c>
      <c r="E11" s="17" t="s">
        <v>237</v>
      </c>
    </row>
    <row r="12" spans="1:6" x14ac:dyDescent="0.3">
      <c r="A12" s="17" t="s">
        <v>10</v>
      </c>
      <c r="B12" t="s">
        <v>63</v>
      </c>
      <c r="C12" t="s">
        <v>155</v>
      </c>
      <c r="D12" t="s">
        <v>236</v>
      </c>
      <c r="E12" s="17" t="s">
        <v>237</v>
      </c>
    </row>
    <row r="13" spans="1:6" x14ac:dyDescent="0.3">
      <c r="A13" s="17" t="s">
        <v>11</v>
      </c>
      <c r="B13" t="s">
        <v>64</v>
      </c>
      <c r="C13" t="s">
        <v>158</v>
      </c>
      <c r="D13" t="s">
        <v>236</v>
      </c>
      <c r="E13" s="17" t="s">
        <v>237</v>
      </c>
    </row>
    <row r="14" spans="1:6" x14ac:dyDescent="0.3">
      <c r="A14" s="17" t="s">
        <v>12</v>
      </c>
      <c r="B14" t="s">
        <v>65</v>
      </c>
      <c r="C14" t="s">
        <v>156</v>
      </c>
      <c r="D14" t="s">
        <v>236</v>
      </c>
      <c r="E14" s="17" t="s">
        <v>237</v>
      </c>
    </row>
    <row r="15" spans="1:6" x14ac:dyDescent="0.3">
      <c r="A15" s="17" t="s">
        <v>13</v>
      </c>
      <c r="B15" t="s">
        <v>66</v>
      </c>
      <c r="C15" t="s">
        <v>160</v>
      </c>
      <c r="D15" t="s">
        <v>236</v>
      </c>
      <c r="E15" s="17" t="s">
        <v>237</v>
      </c>
    </row>
    <row r="16" spans="1:6" x14ac:dyDescent="0.3">
      <c r="A16" s="17" t="s">
        <v>14</v>
      </c>
      <c r="B16" t="s">
        <v>67</v>
      </c>
      <c r="C16" t="s">
        <v>155</v>
      </c>
      <c r="D16" t="s">
        <v>236</v>
      </c>
      <c r="E16" s="17" t="s">
        <v>237</v>
      </c>
    </row>
    <row r="17" spans="1:5" x14ac:dyDescent="0.3">
      <c r="A17" s="17" t="s">
        <v>15</v>
      </c>
      <c r="B17" t="s">
        <v>68</v>
      </c>
      <c r="C17" t="s">
        <v>161</v>
      </c>
      <c r="D17" t="s">
        <v>236</v>
      </c>
      <c r="E17" s="17" t="s">
        <v>237</v>
      </c>
    </row>
    <row r="18" spans="1:5" x14ac:dyDescent="0.3">
      <c r="A18" s="17" t="s">
        <v>16</v>
      </c>
      <c r="B18" t="s">
        <v>69</v>
      </c>
      <c r="C18" t="s">
        <v>161</v>
      </c>
      <c r="D18" t="s">
        <v>236</v>
      </c>
      <c r="E18" s="17" t="s">
        <v>237</v>
      </c>
    </row>
    <row r="19" spans="1:5" x14ac:dyDescent="0.3">
      <c r="A19" s="17" t="s">
        <v>17</v>
      </c>
      <c r="B19" t="s">
        <v>70</v>
      </c>
      <c r="C19" t="s">
        <v>159</v>
      </c>
      <c r="D19" t="s">
        <v>236</v>
      </c>
      <c r="E19" s="17" t="s">
        <v>237</v>
      </c>
    </row>
    <row r="20" spans="1:5" x14ac:dyDescent="0.3">
      <c r="A20" s="17" t="s">
        <v>18</v>
      </c>
      <c r="B20" t="s">
        <v>71</v>
      </c>
      <c r="C20" t="s">
        <v>159</v>
      </c>
      <c r="D20" t="s">
        <v>236</v>
      </c>
      <c r="E20" s="17" t="s">
        <v>237</v>
      </c>
    </row>
    <row r="21" spans="1:5" x14ac:dyDescent="0.3">
      <c r="A21" s="17" t="s">
        <v>19</v>
      </c>
      <c r="B21" t="s">
        <v>72</v>
      </c>
      <c r="C21" t="s">
        <v>158</v>
      </c>
      <c r="D21" t="s">
        <v>236</v>
      </c>
      <c r="E21" s="17" t="s">
        <v>237</v>
      </c>
    </row>
    <row r="22" spans="1:5" x14ac:dyDescent="0.3">
      <c r="A22" s="17" t="s">
        <v>20</v>
      </c>
      <c r="B22" t="s">
        <v>73</v>
      </c>
      <c r="C22" t="s">
        <v>162</v>
      </c>
      <c r="D22" t="s">
        <v>236</v>
      </c>
      <c r="E22" t="s">
        <v>237</v>
      </c>
    </row>
    <row r="23" spans="1:5" x14ac:dyDescent="0.3">
      <c r="A23" s="17" t="s">
        <v>21</v>
      </c>
      <c r="B23" t="s">
        <v>74</v>
      </c>
      <c r="C23" t="s">
        <v>158</v>
      </c>
      <c r="D23" t="s">
        <v>236</v>
      </c>
      <c r="E23" t="s">
        <v>237</v>
      </c>
    </row>
    <row r="24" spans="1:5" x14ac:dyDescent="0.3">
      <c r="A24" s="17" t="s">
        <v>22</v>
      </c>
      <c r="B24" t="s">
        <v>75</v>
      </c>
      <c r="C24" t="s">
        <v>158</v>
      </c>
      <c r="D24" t="s">
        <v>236</v>
      </c>
      <c r="E24" t="s">
        <v>237</v>
      </c>
    </row>
    <row r="25" spans="1:5" x14ac:dyDescent="0.3">
      <c r="A25" s="17" t="s">
        <v>23</v>
      </c>
      <c r="B25" t="s">
        <v>76</v>
      </c>
      <c r="C25" t="s">
        <v>161</v>
      </c>
      <c r="D25" t="s">
        <v>236</v>
      </c>
      <c r="E25" t="s">
        <v>237</v>
      </c>
    </row>
    <row r="26" spans="1:5" x14ac:dyDescent="0.3">
      <c r="A26" s="17" t="s">
        <v>24</v>
      </c>
      <c r="B26" t="s">
        <v>77</v>
      </c>
      <c r="C26" t="s">
        <v>163</v>
      </c>
      <c r="D26" t="s">
        <v>236</v>
      </c>
      <c r="E26" t="s">
        <v>237</v>
      </c>
    </row>
    <row r="27" spans="1:5" x14ac:dyDescent="0.3">
      <c r="A27" s="17" t="s">
        <v>25</v>
      </c>
      <c r="B27" t="s">
        <v>78</v>
      </c>
      <c r="C27" t="s">
        <v>164</v>
      </c>
      <c r="D27" t="s">
        <v>236</v>
      </c>
      <c r="E27" t="s">
        <v>237</v>
      </c>
    </row>
    <row r="28" spans="1:5" x14ac:dyDescent="0.3">
      <c r="A28" s="17" t="s">
        <v>26</v>
      </c>
      <c r="B28" t="s">
        <v>79</v>
      </c>
      <c r="C28" t="s">
        <v>158</v>
      </c>
      <c r="D28" t="s">
        <v>236</v>
      </c>
      <c r="E28" t="s">
        <v>237</v>
      </c>
    </row>
    <row r="29" spans="1:5" x14ac:dyDescent="0.3">
      <c r="A29" s="17" t="s">
        <v>27</v>
      </c>
      <c r="B29" t="s">
        <v>80</v>
      </c>
      <c r="C29" t="s">
        <v>158</v>
      </c>
      <c r="D29" t="s">
        <v>236</v>
      </c>
      <c r="E29" t="s">
        <v>237</v>
      </c>
    </row>
    <row r="30" spans="1:5" x14ac:dyDescent="0.3">
      <c r="A30" s="17" t="s">
        <v>28</v>
      </c>
      <c r="B30" t="s">
        <v>81</v>
      </c>
      <c r="C30" t="s">
        <v>165</v>
      </c>
      <c r="D30" t="s">
        <v>236</v>
      </c>
      <c r="E30" t="s">
        <v>237</v>
      </c>
    </row>
    <row r="31" spans="1:5" x14ac:dyDescent="0.3">
      <c r="A31" s="17" t="s">
        <v>29</v>
      </c>
      <c r="B31" t="s">
        <v>82</v>
      </c>
      <c r="C31" t="s">
        <v>161</v>
      </c>
      <c r="D31" t="s">
        <v>236</v>
      </c>
      <c r="E31" t="s">
        <v>237</v>
      </c>
    </row>
    <row r="32" spans="1:5" x14ac:dyDescent="0.3">
      <c r="A32" s="17" t="s">
        <v>30</v>
      </c>
      <c r="B32" t="s">
        <v>83</v>
      </c>
      <c r="C32" t="s">
        <v>158</v>
      </c>
      <c r="D32" t="s">
        <v>236</v>
      </c>
      <c r="E32" t="s">
        <v>237</v>
      </c>
    </row>
    <row r="33" spans="1:5" x14ac:dyDescent="0.3">
      <c r="A33" s="17" t="s">
        <v>31</v>
      </c>
      <c r="B33" t="s">
        <v>84</v>
      </c>
      <c r="C33" t="s">
        <v>166</v>
      </c>
      <c r="D33" t="s">
        <v>236</v>
      </c>
      <c r="E33" t="s">
        <v>237</v>
      </c>
    </row>
    <row r="34" spans="1:5" x14ac:dyDescent="0.3">
      <c r="A34" s="17" t="s">
        <v>32</v>
      </c>
      <c r="B34" t="s">
        <v>85</v>
      </c>
      <c r="C34" t="s">
        <v>158</v>
      </c>
      <c r="D34" t="s">
        <v>236</v>
      </c>
      <c r="E34" t="s">
        <v>237</v>
      </c>
    </row>
    <row r="35" spans="1:5" x14ac:dyDescent="0.3">
      <c r="A35" s="17" t="s">
        <v>33</v>
      </c>
      <c r="B35" t="s">
        <v>86</v>
      </c>
      <c r="C35" t="s">
        <v>160</v>
      </c>
      <c r="D35" t="s">
        <v>236</v>
      </c>
      <c r="E35" t="s">
        <v>237</v>
      </c>
    </row>
    <row r="36" spans="1:5" x14ac:dyDescent="0.3">
      <c r="A36" s="17" t="s">
        <v>34</v>
      </c>
      <c r="B36" t="s">
        <v>87</v>
      </c>
      <c r="C36" t="s">
        <v>155</v>
      </c>
      <c r="D36" t="s">
        <v>236</v>
      </c>
      <c r="E36" t="s">
        <v>237</v>
      </c>
    </row>
    <row r="37" spans="1:5" x14ac:dyDescent="0.3">
      <c r="A37" s="17" t="s">
        <v>35</v>
      </c>
      <c r="B37" t="s">
        <v>88</v>
      </c>
      <c r="C37" t="s">
        <v>155</v>
      </c>
      <c r="D37" t="s">
        <v>236</v>
      </c>
      <c r="E37" t="s">
        <v>237</v>
      </c>
    </row>
    <row r="38" spans="1:5" x14ac:dyDescent="0.3">
      <c r="A38" s="17" t="s">
        <v>36</v>
      </c>
      <c r="B38" t="s">
        <v>89</v>
      </c>
      <c r="C38" t="s">
        <v>157</v>
      </c>
      <c r="D38" t="s">
        <v>236</v>
      </c>
      <c r="E38" t="s">
        <v>237</v>
      </c>
    </row>
    <row r="39" spans="1:5" x14ac:dyDescent="0.3">
      <c r="A39" s="17" t="s">
        <v>37</v>
      </c>
      <c r="B39" t="s">
        <v>90</v>
      </c>
      <c r="C39" t="s">
        <v>166</v>
      </c>
      <c r="D39" t="s">
        <v>236</v>
      </c>
      <c r="E39" t="s">
        <v>237</v>
      </c>
    </row>
    <row r="40" spans="1:5" x14ac:dyDescent="0.3">
      <c r="A40" s="17" t="s">
        <v>38</v>
      </c>
      <c r="B40" t="s">
        <v>91</v>
      </c>
      <c r="C40" t="s">
        <v>163</v>
      </c>
      <c r="D40" t="s">
        <v>236</v>
      </c>
      <c r="E40" t="s">
        <v>237</v>
      </c>
    </row>
    <row r="41" spans="1:5" x14ac:dyDescent="0.3">
      <c r="A41" s="17" t="s">
        <v>39</v>
      </c>
      <c r="B41" t="s">
        <v>92</v>
      </c>
      <c r="C41" t="s">
        <v>161</v>
      </c>
      <c r="D41" t="s">
        <v>236</v>
      </c>
      <c r="E41" t="s">
        <v>237</v>
      </c>
    </row>
    <row r="42" spans="1:5" x14ac:dyDescent="0.3">
      <c r="A42" s="17" t="s">
        <v>40</v>
      </c>
      <c r="B42" t="s">
        <v>93</v>
      </c>
      <c r="C42" t="s">
        <v>165</v>
      </c>
      <c r="D42" t="s">
        <v>236</v>
      </c>
      <c r="E42" t="s">
        <v>237</v>
      </c>
    </row>
    <row r="43" spans="1:5" x14ac:dyDescent="0.3">
      <c r="A43" s="17" t="s">
        <v>41</v>
      </c>
      <c r="B43" t="s">
        <v>94</v>
      </c>
      <c r="C43" t="s">
        <v>162</v>
      </c>
      <c r="D43" t="s">
        <v>236</v>
      </c>
      <c r="E43" t="s">
        <v>237</v>
      </c>
    </row>
    <row r="44" spans="1:5" x14ac:dyDescent="0.3">
      <c r="A44" s="17" t="s">
        <v>42</v>
      </c>
      <c r="B44" t="s">
        <v>95</v>
      </c>
      <c r="C44" t="s">
        <v>161</v>
      </c>
      <c r="D44" t="s">
        <v>236</v>
      </c>
      <c r="E44" t="s">
        <v>237</v>
      </c>
    </row>
    <row r="45" spans="1:5" x14ac:dyDescent="0.3">
      <c r="A45" s="17" t="s">
        <v>43</v>
      </c>
      <c r="B45" t="s">
        <v>96</v>
      </c>
      <c r="C45" t="s">
        <v>166</v>
      </c>
      <c r="D45" t="s">
        <v>236</v>
      </c>
      <c r="E45" t="s">
        <v>237</v>
      </c>
    </row>
    <row r="46" spans="1:5" x14ac:dyDescent="0.3">
      <c r="A46" s="17" t="s">
        <v>44</v>
      </c>
      <c r="B46" t="s">
        <v>97</v>
      </c>
      <c r="C46" t="s">
        <v>166</v>
      </c>
      <c r="D46" t="s">
        <v>236</v>
      </c>
      <c r="E46" t="s">
        <v>237</v>
      </c>
    </row>
    <row r="47" spans="1:5" x14ac:dyDescent="0.3">
      <c r="A47" s="17" t="s">
        <v>45</v>
      </c>
      <c r="B47" t="s">
        <v>98</v>
      </c>
      <c r="C47" t="s">
        <v>165</v>
      </c>
      <c r="D47" t="s">
        <v>236</v>
      </c>
      <c r="E47" t="s">
        <v>237</v>
      </c>
    </row>
    <row r="48" spans="1:5" x14ac:dyDescent="0.3">
      <c r="A48" s="17" t="s">
        <v>46</v>
      </c>
      <c r="B48" t="s">
        <v>99</v>
      </c>
      <c r="C48" t="s">
        <v>162</v>
      </c>
      <c r="D48" t="s">
        <v>236</v>
      </c>
      <c r="E48" t="s">
        <v>237</v>
      </c>
    </row>
    <row r="49" spans="1:5" x14ac:dyDescent="0.3">
      <c r="A49" s="17" t="s">
        <v>47</v>
      </c>
      <c r="B49" t="s">
        <v>100</v>
      </c>
      <c r="C49" t="s">
        <v>164</v>
      </c>
      <c r="D49" t="s">
        <v>236</v>
      </c>
      <c r="E49" t="s">
        <v>237</v>
      </c>
    </row>
    <row r="50" spans="1:5" x14ac:dyDescent="0.3">
      <c r="A50" s="17" t="s">
        <v>48</v>
      </c>
      <c r="B50" t="s">
        <v>101</v>
      </c>
      <c r="C50" t="s">
        <v>155</v>
      </c>
      <c r="D50" t="s">
        <v>236</v>
      </c>
      <c r="E50" t="s">
        <v>237</v>
      </c>
    </row>
    <row r="51" spans="1:5" x14ac:dyDescent="0.3">
      <c r="A51" s="17" t="s">
        <v>49</v>
      </c>
      <c r="B51" t="s">
        <v>102</v>
      </c>
      <c r="C51" t="s">
        <v>160</v>
      </c>
      <c r="D51" t="s">
        <v>236</v>
      </c>
      <c r="E51" t="s">
        <v>237</v>
      </c>
    </row>
    <row r="52" spans="1:5" x14ac:dyDescent="0.3">
      <c r="A52" s="17" t="s">
        <v>50</v>
      </c>
      <c r="B52" t="s">
        <v>103</v>
      </c>
      <c r="C52" t="s">
        <v>167</v>
      </c>
      <c r="D52" t="s">
        <v>236</v>
      </c>
      <c r="E52" t="s">
        <v>237</v>
      </c>
    </row>
    <row r="53" spans="1:5" x14ac:dyDescent="0.3">
      <c r="A53" s="17" t="s">
        <v>184</v>
      </c>
      <c r="B53" t="s">
        <v>104</v>
      </c>
      <c r="C53" t="s">
        <v>161</v>
      </c>
      <c r="D53" t="s">
        <v>236</v>
      </c>
      <c r="E53" t="s">
        <v>237</v>
      </c>
    </row>
    <row r="54" spans="1:5" x14ac:dyDescent="0.3">
      <c r="A54" s="17" t="s">
        <v>185</v>
      </c>
      <c r="B54" t="s">
        <v>105</v>
      </c>
      <c r="C54" t="s">
        <v>162</v>
      </c>
      <c r="D54" t="s">
        <v>236</v>
      </c>
      <c r="E54" t="s">
        <v>237</v>
      </c>
    </row>
    <row r="55" spans="1:5" x14ac:dyDescent="0.3">
      <c r="A55" s="17" t="s">
        <v>186</v>
      </c>
      <c r="B55" t="s">
        <v>106</v>
      </c>
      <c r="C55" t="s">
        <v>162</v>
      </c>
      <c r="D55" t="s">
        <v>236</v>
      </c>
      <c r="E55" t="s">
        <v>237</v>
      </c>
    </row>
    <row r="56" spans="1:5" x14ac:dyDescent="0.3">
      <c r="A56" s="17" t="s">
        <v>187</v>
      </c>
      <c r="B56" t="s">
        <v>107</v>
      </c>
      <c r="C56" t="s">
        <v>156</v>
      </c>
      <c r="D56" t="s">
        <v>236</v>
      </c>
      <c r="E56" t="s">
        <v>237</v>
      </c>
    </row>
    <row r="57" spans="1:5" x14ac:dyDescent="0.3">
      <c r="A57" s="17" t="s">
        <v>188</v>
      </c>
      <c r="B57" t="s">
        <v>108</v>
      </c>
      <c r="C57" t="s">
        <v>155</v>
      </c>
      <c r="D57" t="s">
        <v>236</v>
      </c>
      <c r="E57" t="s">
        <v>237</v>
      </c>
    </row>
    <row r="58" spans="1:5" x14ac:dyDescent="0.3">
      <c r="A58" s="17" t="s">
        <v>189</v>
      </c>
      <c r="B58" t="s">
        <v>109</v>
      </c>
      <c r="C58" t="s">
        <v>164</v>
      </c>
      <c r="D58" t="s">
        <v>236</v>
      </c>
      <c r="E58" t="s">
        <v>237</v>
      </c>
    </row>
    <row r="59" spans="1:5" x14ac:dyDescent="0.3">
      <c r="A59" s="17" t="s">
        <v>190</v>
      </c>
      <c r="B59" t="s">
        <v>110</v>
      </c>
      <c r="C59" t="s">
        <v>167</v>
      </c>
      <c r="D59" t="s">
        <v>236</v>
      </c>
      <c r="E59" t="s">
        <v>237</v>
      </c>
    </row>
    <row r="60" spans="1:5" x14ac:dyDescent="0.3">
      <c r="A60" s="17" t="s">
        <v>191</v>
      </c>
      <c r="B60" t="s">
        <v>111</v>
      </c>
      <c r="C60" t="s">
        <v>158</v>
      </c>
      <c r="D60" t="s">
        <v>236</v>
      </c>
      <c r="E60" t="s">
        <v>237</v>
      </c>
    </row>
    <row r="61" spans="1:5" x14ac:dyDescent="0.3">
      <c r="A61" s="17" t="s">
        <v>192</v>
      </c>
      <c r="B61" t="s">
        <v>112</v>
      </c>
      <c r="C61" t="s">
        <v>161</v>
      </c>
      <c r="D61" t="s">
        <v>236</v>
      </c>
      <c r="E61" t="s">
        <v>237</v>
      </c>
    </row>
    <row r="62" spans="1:5" x14ac:dyDescent="0.3">
      <c r="A62" s="17" t="s">
        <v>193</v>
      </c>
      <c r="B62" t="s">
        <v>113</v>
      </c>
      <c r="C62" t="s">
        <v>161</v>
      </c>
      <c r="D62" t="s">
        <v>236</v>
      </c>
      <c r="E62" t="s">
        <v>237</v>
      </c>
    </row>
    <row r="63" spans="1:5" x14ac:dyDescent="0.3">
      <c r="A63" s="17" t="s">
        <v>194</v>
      </c>
      <c r="B63" t="s">
        <v>114</v>
      </c>
      <c r="C63" t="s">
        <v>158</v>
      </c>
      <c r="D63" t="s">
        <v>236</v>
      </c>
      <c r="E63" t="s">
        <v>237</v>
      </c>
    </row>
    <row r="64" spans="1:5" x14ac:dyDescent="0.3">
      <c r="A64" s="17" t="s">
        <v>195</v>
      </c>
      <c r="B64" t="s">
        <v>115</v>
      </c>
      <c r="C64" t="s">
        <v>158</v>
      </c>
      <c r="D64" t="s">
        <v>236</v>
      </c>
      <c r="E64" t="s">
        <v>237</v>
      </c>
    </row>
    <row r="65" spans="1:5" x14ac:dyDescent="0.3">
      <c r="A65" s="17" t="s">
        <v>196</v>
      </c>
      <c r="B65" t="s">
        <v>116</v>
      </c>
      <c r="C65" t="s">
        <v>162</v>
      </c>
      <c r="D65" t="s">
        <v>236</v>
      </c>
      <c r="E65" t="s">
        <v>237</v>
      </c>
    </row>
    <row r="66" spans="1:5" x14ac:dyDescent="0.3">
      <c r="A66" s="17" t="s">
        <v>197</v>
      </c>
      <c r="B66" t="s">
        <v>117</v>
      </c>
      <c r="C66" t="s">
        <v>157</v>
      </c>
      <c r="D66" t="s">
        <v>236</v>
      </c>
      <c r="E66" t="s">
        <v>237</v>
      </c>
    </row>
    <row r="67" spans="1:5" x14ac:dyDescent="0.3">
      <c r="A67" s="17" t="s">
        <v>198</v>
      </c>
      <c r="B67" t="s">
        <v>118</v>
      </c>
      <c r="C67" t="s">
        <v>161</v>
      </c>
      <c r="D67" t="s">
        <v>236</v>
      </c>
      <c r="E67" t="s">
        <v>237</v>
      </c>
    </row>
    <row r="68" spans="1:5" x14ac:dyDescent="0.3">
      <c r="A68" s="17" t="s">
        <v>199</v>
      </c>
      <c r="B68" t="s">
        <v>119</v>
      </c>
      <c r="C68" t="s">
        <v>160</v>
      </c>
      <c r="D68" t="s">
        <v>236</v>
      </c>
      <c r="E68" t="s">
        <v>237</v>
      </c>
    </row>
    <row r="69" spans="1:5" x14ac:dyDescent="0.3">
      <c r="A69" s="17" t="s">
        <v>200</v>
      </c>
      <c r="B69" t="s">
        <v>120</v>
      </c>
      <c r="C69" t="s">
        <v>158</v>
      </c>
      <c r="D69" t="s">
        <v>236</v>
      </c>
      <c r="E69" t="s">
        <v>237</v>
      </c>
    </row>
    <row r="70" spans="1:5" x14ac:dyDescent="0.3">
      <c r="A70" s="17" t="s">
        <v>201</v>
      </c>
      <c r="B70" t="s">
        <v>121</v>
      </c>
      <c r="C70" t="s">
        <v>164</v>
      </c>
      <c r="D70" t="s">
        <v>236</v>
      </c>
      <c r="E70" t="s">
        <v>237</v>
      </c>
    </row>
    <row r="71" spans="1:5" x14ac:dyDescent="0.3">
      <c r="A71" s="17" t="s">
        <v>202</v>
      </c>
      <c r="B71" t="s">
        <v>122</v>
      </c>
      <c r="C71" t="s">
        <v>158</v>
      </c>
      <c r="D71" t="s">
        <v>236</v>
      </c>
      <c r="E71" t="s">
        <v>237</v>
      </c>
    </row>
    <row r="72" spans="1:5" x14ac:dyDescent="0.3">
      <c r="A72" s="17" t="s">
        <v>203</v>
      </c>
      <c r="B72" t="s">
        <v>123</v>
      </c>
      <c r="C72" t="s">
        <v>160</v>
      </c>
      <c r="D72" t="s">
        <v>236</v>
      </c>
      <c r="E72" t="s">
        <v>237</v>
      </c>
    </row>
    <row r="73" spans="1:5" x14ac:dyDescent="0.3">
      <c r="A73" s="17" t="s">
        <v>204</v>
      </c>
      <c r="B73" t="s">
        <v>124</v>
      </c>
      <c r="C73" t="s">
        <v>155</v>
      </c>
      <c r="D73" t="s">
        <v>236</v>
      </c>
      <c r="E73" t="s">
        <v>237</v>
      </c>
    </row>
    <row r="74" spans="1:5" x14ac:dyDescent="0.3">
      <c r="A74" s="17" t="s">
        <v>205</v>
      </c>
      <c r="B74" t="s">
        <v>125</v>
      </c>
      <c r="C74" t="s">
        <v>158</v>
      </c>
      <c r="D74" t="s">
        <v>236</v>
      </c>
      <c r="E74" t="s">
        <v>237</v>
      </c>
    </row>
    <row r="75" spans="1:5" x14ac:dyDescent="0.3">
      <c r="A75" s="17" t="s">
        <v>206</v>
      </c>
      <c r="B75" t="s">
        <v>126</v>
      </c>
      <c r="C75" t="s">
        <v>155</v>
      </c>
      <c r="D75" t="s">
        <v>236</v>
      </c>
      <c r="E75" t="s">
        <v>237</v>
      </c>
    </row>
    <row r="76" spans="1:5" x14ac:dyDescent="0.3">
      <c r="A76" s="17" t="s">
        <v>207</v>
      </c>
      <c r="B76" t="s">
        <v>127</v>
      </c>
      <c r="C76" t="s">
        <v>155</v>
      </c>
      <c r="D76" t="s">
        <v>236</v>
      </c>
      <c r="E76" t="s">
        <v>237</v>
      </c>
    </row>
    <row r="77" spans="1:5" x14ac:dyDescent="0.3">
      <c r="A77" s="17" t="s">
        <v>208</v>
      </c>
      <c r="B77" t="s">
        <v>128</v>
      </c>
      <c r="C77" t="s">
        <v>165</v>
      </c>
      <c r="D77" t="s">
        <v>236</v>
      </c>
      <c r="E77" t="s">
        <v>237</v>
      </c>
    </row>
    <row r="78" spans="1:5" x14ac:dyDescent="0.3">
      <c r="A78" s="17" t="s">
        <v>209</v>
      </c>
      <c r="B78" t="s">
        <v>129</v>
      </c>
      <c r="C78" t="s">
        <v>160</v>
      </c>
      <c r="D78" t="s">
        <v>236</v>
      </c>
      <c r="E78" t="s">
        <v>237</v>
      </c>
    </row>
    <row r="79" spans="1:5" x14ac:dyDescent="0.3">
      <c r="A79" s="17" t="s">
        <v>210</v>
      </c>
      <c r="B79" t="s">
        <v>130</v>
      </c>
      <c r="C79" t="s">
        <v>165</v>
      </c>
      <c r="D79" t="s">
        <v>236</v>
      </c>
      <c r="E79" t="s">
        <v>237</v>
      </c>
    </row>
    <row r="80" spans="1:5" x14ac:dyDescent="0.3">
      <c r="A80" s="17" t="s">
        <v>211</v>
      </c>
      <c r="B80" t="s">
        <v>131</v>
      </c>
      <c r="C80" t="s">
        <v>158</v>
      </c>
      <c r="D80" t="s">
        <v>236</v>
      </c>
      <c r="E80" t="s">
        <v>237</v>
      </c>
    </row>
    <row r="81" spans="1:5" x14ac:dyDescent="0.3">
      <c r="A81" s="17" t="s">
        <v>212</v>
      </c>
      <c r="B81" t="s">
        <v>132</v>
      </c>
      <c r="C81" t="s">
        <v>162</v>
      </c>
      <c r="D81" t="s">
        <v>236</v>
      </c>
      <c r="E81" t="s">
        <v>237</v>
      </c>
    </row>
    <row r="82" spans="1:5" x14ac:dyDescent="0.3">
      <c r="A82" s="17" t="s">
        <v>213</v>
      </c>
      <c r="B82" t="s">
        <v>133</v>
      </c>
      <c r="C82" t="s">
        <v>162</v>
      </c>
      <c r="D82" t="s">
        <v>236</v>
      </c>
      <c r="E82" t="s">
        <v>237</v>
      </c>
    </row>
    <row r="83" spans="1:5" x14ac:dyDescent="0.3">
      <c r="A83" s="17" t="s">
        <v>214</v>
      </c>
      <c r="B83" t="s">
        <v>134</v>
      </c>
      <c r="C83" t="s">
        <v>160</v>
      </c>
      <c r="D83" t="s">
        <v>236</v>
      </c>
      <c r="E83" t="s">
        <v>237</v>
      </c>
    </row>
    <row r="84" spans="1:5" x14ac:dyDescent="0.3">
      <c r="A84" s="17" t="s">
        <v>215</v>
      </c>
      <c r="B84" t="s">
        <v>135</v>
      </c>
      <c r="C84" t="s">
        <v>163</v>
      </c>
      <c r="D84" t="s">
        <v>236</v>
      </c>
      <c r="E84" t="s">
        <v>237</v>
      </c>
    </row>
    <row r="85" spans="1:5" x14ac:dyDescent="0.3">
      <c r="A85" s="17" t="s">
        <v>216</v>
      </c>
      <c r="B85" t="s">
        <v>136</v>
      </c>
      <c r="C85" t="s">
        <v>155</v>
      </c>
      <c r="D85" t="s">
        <v>236</v>
      </c>
      <c r="E85" t="s">
        <v>237</v>
      </c>
    </row>
    <row r="86" spans="1:5" x14ac:dyDescent="0.3">
      <c r="A86" s="17" t="s">
        <v>217</v>
      </c>
      <c r="B86" t="s">
        <v>137</v>
      </c>
      <c r="C86" t="s">
        <v>162</v>
      </c>
      <c r="D86" t="s">
        <v>236</v>
      </c>
      <c r="E86" t="s">
        <v>237</v>
      </c>
    </row>
    <row r="87" spans="1:5" x14ac:dyDescent="0.3">
      <c r="A87" s="17" t="s">
        <v>218</v>
      </c>
      <c r="B87" t="s">
        <v>138</v>
      </c>
      <c r="C87" t="s">
        <v>156</v>
      </c>
      <c r="D87" t="s">
        <v>236</v>
      </c>
      <c r="E87" t="s">
        <v>237</v>
      </c>
    </row>
    <row r="88" spans="1:5" x14ac:dyDescent="0.3">
      <c r="A88" s="17" t="s">
        <v>219</v>
      </c>
      <c r="B88" t="s">
        <v>139</v>
      </c>
      <c r="C88" t="s">
        <v>164</v>
      </c>
      <c r="D88" t="s">
        <v>236</v>
      </c>
      <c r="E88" t="s">
        <v>237</v>
      </c>
    </row>
    <row r="89" spans="1:5" x14ac:dyDescent="0.3">
      <c r="A89" s="17" t="s">
        <v>220</v>
      </c>
      <c r="B89" t="s">
        <v>140</v>
      </c>
      <c r="C89" t="s">
        <v>156</v>
      </c>
      <c r="D89" t="s">
        <v>236</v>
      </c>
      <c r="E89" t="s">
        <v>237</v>
      </c>
    </row>
    <row r="90" spans="1:5" x14ac:dyDescent="0.3">
      <c r="A90" s="17" t="s">
        <v>221</v>
      </c>
      <c r="B90" t="s">
        <v>141</v>
      </c>
      <c r="C90" t="s">
        <v>166</v>
      </c>
      <c r="D90" t="s">
        <v>236</v>
      </c>
      <c r="E90" t="s">
        <v>237</v>
      </c>
    </row>
    <row r="91" spans="1:5" x14ac:dyDescent="0.3">
      <c r="A91" s="17" t="s">
        <v>222</v>
      </c>
      <c r="B91" t="s">
        <v>142</v>
      </c>
      <c r="C91" t="s">
        <v>162</v>
      </c>
      <c r="D91" t="s">
        <v>236</v>
      </c>
      <c r="E91" t="s">
        <v>237</v>
      </c>
    </row>
    <row r="92" spans="1:5" x14ac:dyDescent="0.3">
      <c r="A92" s="17" t="s">
        <v>223</v>
      </c>
      <c r="B92" t="s">
        <v>143</v>
      </c>
      <c r="C92" t="s">
        <v>161</v>
      </c>
      <c r="D92" t="s">
        <v>236</v>
      </c>
      <c r="E92" t="s">
        <v>237</v>
      </c>
    </row>
    <row r="93" spans="1:5" x14ac:dyDescent="0.3">
      <c r="A93" s="17" t="s">
        <v>224</v>
      </c>
      <c r="B93" t="s">
        <v>144</v>
      </c>
      <c r="C93" t="s">
        <v>165</v>
      </c>
      <c r="D93" t="s">
        <v>236</v>
      </c>
      <c r="E93" t="s">
        <v>237</v>
      </c>
    </row>
    <row r="94" spans="1:5" x14ac:dyDescent="0.3">
      <c r="A94" s="17" t="s">
        <v>225</v>
      </c>
      <c r="B94" t="s">
        <v>145</v>
      </c>
      <c r="C94" t="s">
        <v>161</v>
      </c>
      <c r="D94" t="s">
        <v>236</v>
      </c>
      <c r="E94" t="s">
        <v>237</v>
      </c>
    </row>
    <row r="95" spans="1:5" x14ac:dyDescent="0.3">
      <c r="A95" s="17" t="s">
        <v>226</v>
      </c>
      <c r="B95" t="s">
        <v>146</v>
      </c>
      <c r="C95" t="s">
        <v>160</v>
      </c>
      <c r="D95" t="s">
        <v>236</v>
      </c>
      <c r="E95" t="s">
        <v>237</v>
      </c>
    </row>
    <row r="96" spans="1:5" x14ac:dyDescent="0.3">
      <c r="A96" s="17" t="s">
        <v>227</v>
      </c>
      <c r="B96" t="s">
        <v>147</v>
      </c>
      <c r="C96" t="s">
        <v>161</v>
      </c>
      <c r="D96" t="s">
        <v>236</v>
      </c>
      <c r="E96" t="s">
        <v>237</v>
      </c>
    </row>
    <row r="97" spans="1:5" x14ac:dyDescent="0.3">
      <c r="A97" s="17" t="s">
        <v>228</v>
      </c>
      <c r="B97" t="s">
        <v>148</v>
      </c>
      <c r="C97" t="s">
        <v>163</v>
      </c>
      <c r="D97" t="s">
        <v>236</v>
      </c>
      <c r="E97" t="s">
        <v>237</v>
      </c>
    </row>
    <row r="98" spans="1:5" x14ac:dyDescent="0.3">
      <c r="A98" s="17" t="s">
        <v>229</v>
      </c>
      <c r="B98" t="s">
        <v>149</v>
      </c>
      <c r="C98" t="s">
        <v>167</v>
      </c>
      <c r="D98" t="s">
        <v>236</v>
      </c>
      <c r="E98" t="s">
        <v>237</v>
      </c>
    </row>
    <row r="99" spans="1:5" x14ac:dyDescent="0.3">
      <c r="A99" s="17" t="s">
        <v>230</v>
      </c>
      <c r="B99" t="s">
        <v>150</v>
      </c>
      <c r="C99" t="s">
        <v>159</v>
      </c>
      <c r="D99" t="s">
        <v>236</v>
      </c>
      <c r="E99" t="s">
        <v>237</v>
      </c>
    </row>
    <row r="100" spans="1:5" x14ac:dyDescent="0.3">
      <c r="A100" s="17" t="s">
        <v>231</v>
      </c>
      <c r="B100" t="s">
        <v>151</v>
      </c>
      <c r="C100" t="s">
        <v>164</v>
      </c>
      <c r="D100" t="s">
        <v>236</v>
      </c>
      <c r="E100" t="s">
        <v>237</v>
      </c>
    </row>
    <row r="101" spans="1:5" x14ac:dyDescent="0.3">
      <c r="A101" s="17" t="s">
        <v>232</v>
      </c>
      <c r="B101" t="s">
        <v>152</v>
      </c>
      <c r="C101" t="s">
        <v>164</v>
      </c>
      <c r="D101" t="s">
        <v>236</v>
      </c>
      <c r="E101" t="s">
        <v>237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244E-E099-4082-A9BB-BE25BCF6627B}">
  <dimension ref="A1:E17"/>
  <sheetViews>
    <sheetView workbookViewId="0">
      <selection activeCell="B11" sqref="B11"/>
    </sheetView>
  </sheetViews>
  <sheetFormatPr defaultColWidth="0" defaultRowHeight="14.4" zeroHeight="1" x14ac:dyDescent="0.3"/>
  <cols>
    <col min="1" max="2" width="27.44140625" bestFit="1" customWidth="1"/>
    <col min="3" max="3" width="28" bestFit="1" customWidth="1"/>
    <col min="4" max="4" width="6.109375" bestFit="1" customWidth="1"/>
    <col min="5" max="5" width="3.44140625" customWidth="1"/>
    <col min="6" max="16384" width="8.88671875" hidden="1"/>
  </cols>
  <sheetData>
    <row r="1" spans="1:4" x14ac:dyDescent="0.3">
      <c r="A1" s="16" t="s">
        <v>168</v>
      </c>
      <c r="B1" s="16" t="s">
        <v>238</v>
      </c>
      <c r="C1" s="16" t="s">
        <v>239</v>
      </c>
      <c r="D1" s="18" t="s">
        <v>235</v>
      </c>
    </row>
    <row r="2" spans="1:4" x14ac:dyDescent="0.3">
      <c r="A2" s="17" t="s">
        <v>154</v>
      </c>
      <c r="B2" s="17" t="s">
        <v>154</v>
      </c>
      <c r="C2" s="17" t="s">
        <v>242</v>
      </c>
    </row>
    <row r="3" spans="1:4" x14ac:dyDescent="0.3">
      <c r="A3" s="17" t="s">
        <v>155</v>
      </c>
      <c r="B3" s="17" t="s">
        <v>155</v>
      </c>
      <c r="C3" s="17" t="s">
        <v>243</v>
      </c>
    </row>
    <row r="4" spans="1:4" x14ac:dyDescent="0.3">
      <c r="A4" s="17" t="s">
        <v>240</v>
      </c>
      <c r="B4" s="17" t="s">
        <v>240</v>
      </c>
      <c r="C4" s="17" t="s">
        <v>241</v>
      </c>
    </row>
    <row r="5" spans="1:4" x14ac:dyDescent="0.3">
      <c r="A5" s="17" t="s">
        <v>165</v>
      </c>
      <c r="B5" s="17" t="s">
        <v>165</v>
      </c>
      <c r="C5" s="17" t="s">
        <v>244</v>
      </c>
    </row>
    <row r="6" spans="1:4" x14ac:dyDescent="0.3">
      <c r="A6" s="17" t="s">
        <v>156</v>
      </c>
      <c r="B6" s="17" t="s">
        <v>156</v>
      </c>
      <c r="C6" s="17" t="s">
        <v>245</v>
      </c>
    </row>
    <row r="7" spans="1:4" x14ac:dyDescent="0.3">
      <c r="A7" s="17" t="s">
        <v>157</v>
      </c>
      <c r="B7" s="17" t="s">
        <v>157</v>
      </c>
      <c r="C7" s="17" t="s">
        <v>246</v>
      </c>
    </row>
    <row r="8" spans="1:4" x14ac:dyDescent="0.3">
      <c r="A8" s="17" t="s">
        <v>158</v>
      </c>
      <c r="B8" s="17" t="s">
        <v>158</v>
      </c>
      <c r="C8" s="17" t="s">
        <v>242</v>
      </c>
    </row>
    <row r="9" spans="1:4" x14ac:dyDescent="0.3">
      <c r="A9" s="17" t="s">
        <v>159</v>
      </c>
      <c r="B9" s="17" t="s">
        <v>159</v>
      </c>
      <c r="C9" s="17" t="s">
        <v>159</v>
      </c>
    </row>
    <row r="10" spans="1:4" x14ac:dyDescent="0.3">
      <c r="A10" s="17" t="s">
        <v>160</v>
      </c>
      <c r="B10" s="17" t="s">
        <v>160</v>
      </c>
      <c r="C10" s="17" t="s">
        <v>241</v>
      </c>
    </row>
    <row r="11" spans="1:4" x14ac:dyDescent="0.3">
      <c r="A11" s="17" t="s">
        <v>161</v>
      </c>
      <c r="B11" s="17" t="s">
        <v>161</v>
      </c>
      <c r="C11" s="17" t="s">
        <v>245</v>
      </c>
    </row>
    <row r="12" spans="1:4" x14ac:dyDescent="0.3">
      <c r="A12" s="17" t="s">
        <v>162</v>
      </c>
      <c r="B12" s="17" t="s">
        <v>162</v>
      </c>
      <c r="C12" s="17" t="s">
        <v>246</v>
      </c>
    </row>
    <row r="13" spans="1:4" x14ac:dyDescent="0.3">
      <c r="A13" s="17" t="s">
        <v>163</v>
      </c>
      <c r="B13" s="17" t="s">
        <v>163</v>
      </c>
      <c r="C13" s="17" t="s">
        <v>247</v>
      </c>
    </row>
    <row r="14" spans="1:4" x14ac:dyDescent="0.3">
      <c r="A14" s="17" t="s">
        <v>164</v>
      </c>
      <c r="B14" s="17" t="s">
        <v>164</v>
      </c>
      <c r="C14" s="17" t="s">
        <v>164</v>
      </c>
    </row>
    <row r="15" spans="1:4" x14ac:dyDescent="0.3">
      <c r="A15" s="17" t="s">
        <v>166</v>
      </c>
      <c r="B15" s="17" t="s">
        <v>166</v>
      </c>
      <c r="C15" s="17" t="s">
        <v>166</v>
      </c>
    </row>
    <row r="16" spans="1:4" x14ac:dyDescent="0.3">
      <c r="A16" s="17" t="s">
        <v>167</v>
      </c>
      <c r="B16" s="17" t="s">
        <v>167</v>
      </c>
      <c r="C16" s="17" t="s">
        <v>167</v>
      </c>
    </row>
    <row r="17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6021-12C4-4DDD-A0D3-4EB057A17535}">
  <dimension ref="A1:E11"/>
  <sheetViews>
    <sheetView workbookViewId="0">
      <selection activeCell="E11" sqref="E11"/>
    </sheetView>
  </sheetViews>
  <sheetFormatPr defaultColWidth="0" defaultRowHeight="14.4" zeroHeight="1" x14ac:dyDescent="0.3"/>
  <cols>
    <col min="1" max="1" width="5" bestFit="1" customWidth="1"/>
    <col min="2" max="2" width="11.21875" bestFit="1" customWidth="1"/>
    <col min="3" max="3" width="7.33203125" bestFit="1" customWidth="1"/>
    <col min="4" max="4" width="17.109375" bestFit="1" customWidth="1"/>
    <col min="5" max="5" width="3.5546875" customWidth="1"/>
    <col min="6" max="16384" width="8.88671875" hidden="1"/>
  </cols>
  <sheetData>
    <row r="1" spans="1:4" x14ac:dyDescent="0.3">
      <c r="A1" s="18" t="s">
        <v>153</v>
      </c>
      <c r="B1" s="18" t="s">
        <v>248</v>
      </c>
      <c r="C1" s="18" t="s">
        <v>249</v>
      </c>
      <c r="D1" s="18" t="s">
        <v>250</v>
      </c>
    </row>
    <row r="2" spans="1:4" x14ac:dyDescent="0.3">
      <c r="A2">
        <v>2016</v>
      </c>
      <c r="B2" t="s">
        <v>251</v>
      </c>
      <c r="C2" t="s">
        <v>252</v>
      </c>
      <c r="D2" t="s">
        <v>253</v>
      </c>
    </row>
    <row r="3" spans="1:4" x14ac:dyDescent="0.3">
      <c r="A3">
        <v>2017</v>
      </c>
      <c r="B3" t="s">
        <v>254</v>
      </c>
      <c r="C3" t="s">
        <v>252</v>
      </c>
      <c r="D3" t="s">
        <v>253</v>
      </c>
    </row>
    <row r="4" spans="1:4" x14ac:dyDescent="0.3">
      <c r="A4">
        <v>2018</v>
      </c>
      <c r="B4" t="s">
        <v>255</v>
      </c>
      <c r="C4" t="s">
        <v>252</v>
      </c>
      <c r="D4" t="s">
        <v>253</v>
      </c>
    </row>
    <row r="5" spans="1:4" x14ac:dyDescent="0.3">
      <c r="A5">
        <v>2019</v>
      </c>
      <c r="B5" t="s">
        <v>256</v>
      </c>
      <c r="C5" t="s">
        <v>252</v>
      </c>
      <c r="D5" t="s">
        <v>253</v>
      </c>
    </row>
    <row r="6" spans="1:4" x14ac:dyDescent="0.3">
      <c r="A6">
        <v>2020</v>
      </c>
      <c r="B6" t="s">
        <v>257</v>
      </c>
      <c r="C6" t="s">
        <v>258</v>
      </c>
      <c r="D6" t="s">
        <v>259</v>
      </c>
    </row>
    <row r="7" spans="1:4" x14ac:dyDescent="0.3">
      <c r="A7">
        <v>2021</v>
      </c>
      <c r="B7" t="s">
        <v>260</v>
      </c>
      <c r="C7" t="s">
        <v>258</v>
      </c>
      <c r="D7" t="s">
        <v>259</v>
      </c>
    </row>
    <row r="8" spans="1:4" x14ac:dyDescent="0.3">
      <c r="A8">
        <v>2022</v>
      </c>
      <c r="B8" t="s">
        <v>261</v>
      </c>
      <c r="C8" t="s">
        <v>258</v>
      </c>
      <c r="D8" t="s">
        <v>262</v>
      </c>
    </row>
    <row r="9" spans="1:4" x14ac:dyDescent="0.3">
      <c r="A9">
        <v>2023</v>
      </c>
      <c r="B9" t="s">
        <v>263</v>
      </c>
      <c r="C9" t="s">
        <v>258</v>
      </c>
      <c r="D9" t="s">
        <v>262</v>
      </c>
    </row>
    <row r="10" spans="1:4" x14ac:dyDescent="0.3"/>
    <row r="11" spans="1:4" hidden="1" x14ac:dyDescent="0.3">
      <c r="A11" t="s">
        <v>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1E06-AC87-4BD1-9C6C-2EAF8247B723}">
  <dimension ref="A1:I21"/>
  <sheetViews>
    <sheetView topLeftCell="D1" workbookViewId="0">
      <selection activeCell="J3" sqref="J1:XFD1048576"/>
    </sheetView>
  </sheetViews>
  <sheetFormatPr defaultColWidth="0" defaultRowHeight="14.4" zeroHeight="1" x14ac:dyDescent="0.3"/>
  <cols>
    <col min="1" max="1" width="20.109375" bestFit="1" customWidth="1"/>
    <col min="2" max="3" width="28.5546875" bestFit="1" customWidth="1"/>
    <col min="4" max="4" width="82.109375" bestFit="1" customWidth="1"/>
    <col min="5" max="5" width="23.77734375" bestFit="1" customWidth="1"/>
    <col min="6" max="6" width="17.21875" bestFit="1" customWidth="1"/>
    <col min="7" max="7" width="42.6640625" bestFit="1" customWidth="1"/>
    <col min="8" max="8" width="53.77734375" bestFit="1" customWidth="1"/>
    <col min="9" max="9" width="2.88671875" customWidth="1"/>
    <col min="10" max="16384" width="8.88671875" hidden="1"/>
  </cols>
  <sheetData>
    <row r="1" spans="1:8" x14ac:dyDescent="0.3">
      <c r="A1" s="18" t="s">
        <v>264</v>
      </c>
      <c r="B1" s="18" t="s">
        <v>265</v>
      </c>
      <c r="C1" s="18" t="s">
        <v>266</v>
      </c>
      <c r="D1" s="18" t="s">
        <v>267</v>
      </c>
      <c r="E1" s="18" t="s">
        <v>268</v>
      </c>
      <c r="F1" s="18" t="s">
        <v>269</v>
      </c>
      <c r="G1" s="18" t="s">
        <v>270</v>
      </c>
      <c r="H1" s="18" t="s">
        <v>235</v>
      </c>
    </row>
    <row r="2" spans="1:8" x14ac:dyDescent="0.3">
      <c r="A2" t="s">
        <v>51</v>
      </c>
      <c r="B2" t="s">
        <v>271</v>
      </c>
      <c r="C2" t="s">
        <v>272</v>
      </c>
      <c r="D2" t="s">
        <v>273</v>
      </c>
      <c r="E2" t="s">
        <v>274</v>
      </c>
      <c r="F2" t="s">
        <v>274</v>
      </c>
      <c r="G2" t="s">
        <v>275</v>
      </c>
      <c r="H2" t="s">
        <v>276</v>
      </c>
    </row>
    <row r="3" spans="1:8" x14ac:dyDescent="0.3">
      <c r="A3" t="s">
        <v>52</v>
      </c>
      <c r="B3" t="s">
        <v>313</v>
      </c>
      <c r="C3" t="s">
        <v>272</v>
      </c>
      <c r="D3" t="s">
        <v>314</v>
      </c>
      <c r="E3" t="s">
        <v>274</v>
      </c>
      <c r="F3" t="s">
        <v>274</v>
      </c>
      <c r="G3" t="s">
        <v>315</v>
      </c>
      <c r="H3" t="s">
        <v>316</v>
      </c>
    </row>
    <row r="4" spans="1:8" x14ac:dyDescent="0.3">
      <c r="A4" t="s">
        <v>153</v>
      </c>
      <c r="B4" t="s">
        <v>277</v>
      </c>
      <c r="C4" t="s">
        <v>278</v>
      </c>
      <c r="D4" t="s">
        <v>279</v>
      </c>
      <c r="E4" t="s">
        <v>153</v>
      </c>
      <c r="F4" t="s">
        <v>280</v>
      </c>
      <c r="G4" t="s">
        <v>281</v>
      </c>
      <c r="H4" t="s">
        <v>282</v>
      </c>
    </row>
    <row r="5" spans="1:8" x14ac:dyDescent="0.3">
      <c r="A5" t="s">
        <v>168</v>
      </c>
      <c r="B5" t="s">
        <v>317</v>
      </c>
      <c r="C5" t="s">
        <v>318</v>
      </c>
      <c r="D5" t="s">
        <v>319</v>
      </c>
      <c r="E5" t="s">
        <v>274</v>
      </c>
      <c r="F5" t="s">
        <v>274</v>
      </c>
      <c r="G5" t="s">
        <v>315</v>
      </c>
      <c r="H5" t="s">
        <v>320</v>
      </c>
    </row>
    <row r="6" spans="1:8" x14ac:dyDescent="0.3">
      <c r="A6" t="s">
        <v>169</v>
      </c>
      <c r="B6" t="s">
        <v>283</v>
      </c>
      <c r="C6" t="s">
        <v>169</v>
      </c>
      <c r="D6" t="s">
        <v>284</v>
      </c>
      <c r="E6" t="s">
        <v>285</v>
      </c>
      <c r="F6" t="s">
        <v>321</v>
      </c>
      <c r="G6" t="s">
        <v>286</v>
      </c>
      <c r="H6" t="s">
        <v>322</v>
      </c>
    </row>
    <row r="7" spans="1:8" x14ac:dyDescent="0.3">
      <c r="A7" t="s">
        <v>170</v>
      </c>
      <c r="B7" t="s">
        <v>287</v>
      </c>
      <c r="C7" t="s">
        <v>323</v>
      </c>
      <c r="D7" t="s">
        <v>288</v>
      </c>
      <c r="E7" t="s">
        <v>285</v>
      </c>
      <c r="F7" t="s">
        <v>321</v>
      </c>
      <c r="G7" t="s">
        <v>286</v>
      </c>
      <c r="H7" t="s">
        <v>324</v>
      </c>
    </row>
    <row r="8" spans="1:8" x14ac:dyDescent="0.3">
      <c r="A8" t="s">
        <v>171</v>
      </c>
      <c r="B8" t="s">
        <v>289</v>
      </c>
      <c r="C8" t="s">
        <v>323</v>
      </c>
      <c r="D8" t="s">
        <v>290</v>
      </c>
      <c r="E8" t="s">
        <v>285</v>
      </c>
      <c r="F8" t="s">
        <v>321</v>
      </c>
      <c r="G8" t="s">
        <v>286</v>
      </c>
      <c r="H8" t="s">
        <v>324</v>
      </c>
    </row>
    <row r="9" spans="1:8" x14ac:dyDescent="0.3">
      <c r="A9" t="s">
        <v>172</v>
      </c>
      <c r="B9" t="s">
        <v>291</v>
      </c>
      <c r="C9" t="s">
        <v>323</v>
      </c>
      <c r="D9" t="s">
        <v>292</v>
      </c>
      <c r="E9" t="s">
        <v>285</v>
      </c>
      <c r="F9" t="s">
        <v>321</v>
      </c>
      <c r="G9" t="s">
        <v>286</v>
      </c>
      <c r="H9" t="s">
        <v>324</v>
      </c>
    </row>
    <row r="10" spans="1:8" x14ac:dyDescent="0.3">
      <c r="A10" t="s">
        <v>293</v>
      </c>
      <c r="B10" t="s">
        <v>294</v>
      </c>
      <c r="C10" t="s">
        <v>325</v>
      </c>
      <c r="D10" t="s">
        <v>326</v>
      </c>
      <c r="E10" t="s">
        <v>295</v>
      </c>
      <c r="F10" t="s">
        <v>321</v>
      </c>
      <c r="G10" t="s">
        <v>296</v>
      </c>
      <c r="H10" t="s">
        <v>327</v>
      </c>
    </row>
    <row r="11" spans="1:8" x14ac:dyDescent="0.3">
      <c r="A11" t="s">
        <v>328</v>
      </c>
      <c r="B11" t="s">
        <v>329</v>
      </c>
      <c r="C11" t="s">
        <v>330</v>
      </c>
      <c r="D11" t="s">
        <v>331</v>
      </c>
      <c r="E11" t="s">
        <v>332</v>
      </c>
      <c r="F11" t="s">
        <v>321</v>
      </c>
      <c r="G11" t="s">
        <v>296</v>
      </c>
      <c r="H11" t="s">
        <v>333</v>
      </c>
    </row>
    <row r="12" spans="1:8" x14ac:dyDescent="0.3">
      <c r="A12" t="s">
        <v>334</v>
      </c>
      <c r="B12" t="s">
        <v>335</v>
      </c>
      <c r="C12" t="s">
        <v>330</v>
      </c>
      <c r="D12" t="s">
        <v>336</v>
      </c>
      <c r="E12" t="s">
        <v>332</v>
      </c>
      <c r="F12" t="s">
        <v>321</v>
      </c>
      <c r="G12" t="s">
        <v>296</v>
      </c>
      <c r="H12" t="s">
        <v>333</v>
      </c>
    </row>
    <row r="13" spans="1:8" x14ac:dyDescent="0.3">
      <c r="A13" t="s">
        <v>174</v>
      </c>
      <c r="B13" t="s">
        <v>297</v>
      </c>
      <c r="C13" t="s">
        <v>298</v>
      </c>
      <c r="D13" t="s">
        <v>299</v>
      </c>
      <c r="E13" t="s">
        <v>300</v>
      </c>
      <c r="F13" t="s">
        <v>321</v>
      </c>
      <c r="G13" t="s">
        <v>301</v>
      </c>
      <c r="H13" t="s">
        <v>337</v>
      </c>
    </row>
    <row r="14" spans="1:8" x14ac:dyDescent="0.3">
      <c r="A14" t="s">
        <v>175</v>
      </c>
      <c r="B14" t="s">
        <v>302</v>
      </c>
      <c r="C14" t="s">
        <v>298</v>
      </c>
      <c r="D14" t="s">
        <v>338</v>
      </c>
      <c r="E14" t="s">
        <v>303</v>
      </c>
      <c r="F14" t="s">
        <v>321</v>
      </c>
      <c r="G14" t="s">
        <v>301</v>
      </c>
      <c r="H14" t="s">
        <v>339</v>
      </c>
    </row>
    <row r="15" spans="1:8" x14ac:dyDescent="0.3">
      <c r="A15" t="s">
        <v>176</v>
      </c>
      <c r="B15" t="s">
        <v>304</v>
      </c>
      <c r="C15" t="s">
        <v>298</v>
      </c>
      <c r="D15" t="s">
        <v>340</v>
      </c>
      <c r="E15" t="s">
        <v>303</v>
      </c>
      <c r="F15" t="s">
        <v>321</v>
      </c>
      <c r="G15" t="s">
        <v>301</v>
      </c>
      <c r="H15" t="s">
        <v>339</v>
      </c>
    </row>
    <row r="16" spans="1:8" x14ac:dyDescent="0.3">
      <c r="A16" t="s">
        <v>180</v>
      </c>
      <c r="B16" t="s">
        <v>341</v>
      </c>
      <c r="C16" t="s">
        <v>306</v>
      </c>
      <c r="D16" t="s">
        <v>342</v>
      </c>
      <c r="E16" t="s">
        <v>308</v>
      </c>
      <c r="F16" t="s">
        <v>321</v>
      </c>
      <c r="G16" t="s">
        <v>343</v>
      </c>
      <c r="H16" t="s">
        <v>344</v>
      </c>
    </row>
    <row r="17" spans="1:8" x14ac:dyDescent="0.3">
      <c r="A17" t="s">
        <v>181</v>
      </c>
      <c r="B17" t="s">
        <v>305</v>
      </c>
      <c r="C17" t="s">
        <v>306</v>
      </c>
      <c r="D17" t="s">
        <v>307</v>
      </c>
      <c r="E17" t="s">
        <v>308</v>
      </c>
      <c r="F17" t="s">
        <v>321</v>
      </c>
      <c r="G17" t="s">
        <v>343</v>
      </c>
      <c r="H17" t="s">
        <v>345</v>
      </c>
    </row>
    <row r="18" spans="1:8" x14ac:dyDescent="0.3">
      <c r="A18" t="s">
        <v>177</v>
      </c>
      <c r="B18" t="s">
        <v>309</v>
      </c>
      <c r="C18" t="s">
        <v>346</v>
      </c>
      <c r="D18" t="s">
        <v>347</v>
      </c>
      <c r="E18" t="s">
        <v>348</v>
      </c>
      <c r="F18" t="s">
        <v>321</v>
      </c>
      <c r="G18" t="s">
        <v>349</v>
      </c>
      <c r="H18" t="s">
        <v>350</v>
      </c>
    </row>
    <row r="19" spans="1:8" x14ac:dyDescent="0.3">
      <c r="A19" t="s">
        <v>178</v>
      </c>
      <c r="B19" t="s">
        <v>310</v>
      </c>
      <c r="C19" t="s">
        <v>346</v>
      </c>
      <c r="D19" t="s">
        <v>351</v>
      </c>
      <c r="E19" t="s">
        <v>300</v>
      </c>
      <c r="F19" t="s">
        <v>321</v>
      </c>
      <c r="G19" t="s">
        <v>352</v>
      </c>
      <c r="H19" t="s">
        <v>353</v>
      </c>
    </row>
    <row r="20" spans="1:8" x14ac:dyDescent="0.3">
      <c r="A20" t="s">
        <v>179</v>
      </c>
      <c r="B20" t="s">
        <v>311</v>
      </c>
      <c r="C20" t="s">
        <v>354</v>
      </c>
      <c r="D20" t="s">
        <v>355</v>
      </c>
      <c r="E20" t="s">
        <v>312</v>
      </c>
      <c r="F20" t="s">
        <v>321</v>
      </c>
      <c r="G20" t="s">
        <v>281</v>
      </c>
      <c r="H20" t="s">
        <v>345</v>
      </c>
    </row>
    <row r="21" spans="1:8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5DFC-FBD6-4607-9AFF-95DDA82034D8}">
  <dimension ref="A1:V79"/>
  <sheetViews>
    <sheetView tabSelected="1" topLeftCell="A58" workbookViewId="0">
      <selection activeCell="T11" sqref="T11"/>
    </sheetView>
  </sheetViews>
  <sheetFormatPr defaultColWidth="0" defaultRowHeight="14.4" zeroHeight="1" x14ac:dyDescent="0.3"/>
  <cols>
    <col min="1" max="1" width="13" bestFit="1" customWidth="1"/>
    <col min="2" max="2" width="25.21875" bestFit="1" customWidth="1"/>
    <col min="3" max="3" width="20.44140625" bestFit="1" customWidth="1"/>
    <col min="4" max="4" width="28" bestFit="1" customWidth="1"/>
    <col min="5" max="5" width="24.88671875" bestFit="1" customWidth="1"/>
    <col min="6" max="6" width="21.88671875" bestFit="1" customWidth="1"/>
    <col min="7" max="7" width="22.6640625" bestFit="1" customWidth="1"/>
    <col min="8" max="8" width="16.6640625" bestFit="1" customWidth="1"/>
    <col min="9" max="9" width="12.77734375" bestFit="1" customWidth="1"/>
    <col min="10" max="10" width="9.33203125" bestFit="1" customWidth="1"/>
    <col min="11" max="11" width="7.33203125" bestFit="1" customWidth="1"/>
    <col min="12" max="12" width="18.21875" bestFit="1" customWidth="1"/>
    <col min="13" max="13" width="12.88671875" bestFit="1" customWidth="1"/>
    <col min="14" max="14" width="52.109375" bestFit="1" customWidth="1"/>
    <col min="15" max="15" width="14.5546875" bestFit="1" customWidth="1"/>
    <col min="16" max="16" width="11.21875" bestFit="1" customWidth="1"/>
    <col min="17" max="17" width="18" customWidth="1"/>
    <col min="18" max="18" width="21.109375" bestFit="1" customWidth="1"/>
    <col min="19" max="19" width="22.21875" bestFit="1" customWidth="1"/>
    <col min="20" max="20" width="18.77734375" bestFit="1" customWidth="1"/>
    <col min="21" max="21" width="8.33203125" bestFit="1" customWidth="1"/>
    <col min="22" max="22" width="3.77734375" customWidth="1"/>
    <col min="23" max="16384" width="8.88671875" hidden="1"/>
  </cols>
  <sheetData>
    <row r="1" spans="1:21" x14ac:dyDescent="0.3">
      <c r="A1" s="18" t="s">
        <v>356</v>
      </c>
      <c r="B1" s="18" t="s">
        <v>656</v>
      </c>
      <c r="C1" s="18" t="s">
        <v>358</v>
      </c>
      <c r="D1" s="18" t="s">
        <v>357</v>
      </c>
      <c r="E1" s="18" t="s">
        <v>657</v>
      </c>
      <c r="F1" s="18" t="s">
        <v>359</v>
      </c>
      <c r="G1" s="18" t="s">
        <v>360</v>
      </c>
      <c r="H1" s="18" t="s">
        <v>658</v>
      </c>
      <c r="I1" s="18" t="s">
        <v>361</v>
      </c>
      <c r="J1" s="18" t="s">
        <v>362</v>
      </c>
      <c r="K1" s="18" t="s">
        <v>659</v>
      </c>
      <c r="L1" s="18" t="s">
        <v>363</v>
      </c>
      <c r="M1" s="18" t="s">
        <v>364</v>
      </c>
      <c r="N1" s="18" t="s">
        <v>365</v>
      </c>
      <c r="O1" s="18" t="s">
        <v>660</v>
      </c>
      <c r="P1" s="18" t="s">
        <v>661</v>
      </c>
      <c r="Q1" s="18" t="s">
        <v>662</v>
      </c>
      <c r="R1" s="18" t="s">
        <v>663</v>
      </c>
      <c r="S1" s="18" t="s">
        <v>664</v>
      </c>
      <c r="T1" s="18" t="s">
        <v>366</v>
      </c>
      <c r="U1" s="18" t="s">
        <v>235</v>
      </c>
    </row>
    <row r="2" spans="1:21" x14ac:dyDescent="0.3">
      <c r="A2" t="s">
        <v>368</v>
      </c>
      <c r="B2" t="s">
        <v>369</v>
      </c>
      <c r="C2" t="s">
        <v>174</v>
      </c>
      <c r="D2" t="s">
        <v>370</v>
      </c>
      <c r="E2" t="s">
        <v>371</v>
      </c>
      <c r="F2" t="s">
        <v>169</v>
      </c>
      <c r="G2" t="s">
        <v>372</v>
      </c>
      <c r="H2" s="19" t="s">
        <v>373</v>
      </c>
      <c r="I2">
        <v>0</v>
      </c>
      <c r="J2">
        <v>0.76400000000000001</v>
      </c>
      <c r="L2" t="s">
        <v>374</v>
      </c>
      <c r="M2" t="s">
        <v>375</v>
      </c>
      <c r="N2" t="s">
        <v>666</v>
      </c>
      <c r="O2" s="3">
        <v>400</v>
      </c>
      <c r="P2" s="3">
        <v>0.1061</v>
      </c>
      <c r="Q2" t="s">
        <v>376</v>
      </c>
      <c r="R2" t="s">
        <v>377</v>
      </c>
      <c r="S2" t="s">
        <v>378</v>
      </c>
      <c r="T2" t="s">
        <v>367</v>
      </c>
    </row>
    <row r="3" spans="1:21" x14ac:dyDescent="0.3">
      <c r="A3" t="s">
        <v>379</v>
      </c>
      <c r="B3" t="s">
        <v>369</v>
      </c>
      <c r="C3" t="s">
        <v>174</v>
      </c>
      <c r="D3" t="s">
        <v>380</v>
      </c>
      <c r="E3" t="s">
        <v>371</v>
      </c>
      <c r="F3" t="s">
        <v>381</v>
      </c>
      <c r="G3" t="s">
        <v>372</v>
      </c>
      <c r="H3" s="19" t="s">
        <v>382</v>
      </c>
      <c r="I3">
        <v>0</v>
      </c>
      <c r="J3">
        <v>0.84299999999999997</v>
      </c>
      <c r="L3" t="s">
        <v>374</v>
      </c>
      <c r="M3" t="s">
        <v>375</v>
      </c>
      <c r="N3" t="s">
        <v>666</v>
      </c>
      <c r="O3" s="3">
        <v>394</v>
      </c>
      <c r="P3" s="3">
        <v>0.108</v>
      </c>
      <c r="Q3" t="s">
        <v>383</v>
      </c>
      <c r="R3" t="s">
        <v>384</v>
      </c>
      <c r="S3" t="s">
        <v>378</v>
      </c>
      <c r="T3" t="s">
        <v>367</v>
      </c>
    </row>
    <row r="4" spans="1:21" x14ac:dyDescent="0.3">
      <c r="A4" t="s">
        <v>385</v>
      </c>
      <c r="B4" t="s">
        <v>369</v>
      </c>
      <c r="C4" t="s">
        <v>174</v>
      </c>
      <c r="D4" t="s">
        <v>386</v>
      </c>
      <c r="E4" t="s">
        <v>371</v>
      </c>
      <c r="F4" t="s">
        <v>387</v>
      </c>
      <c r="G4" t="s">
        <v>372</v>
      </c>
      <c r="H4" s="19" t="s">
        <v>388</v>
      </c>
      <c r="I4">
        <v>0</v>
      </c>
      <c r="J4">
        <v>0.76600000000000001</v>
      </c>
      <c r="L4" t="s">
        <v>374</v>
      </c>
      <c r="M4" t="s">
        <v>375</v>
      </c>
      <c r="N4" t="s">
        <v>666</v>
      </c>
      <c r="O4" s="3">
        <v>400</v>
      </c>
      <c r="P4" s="3">
        <v>0.1061</v>
      </c>
      <c r="Q4" t="s">
        <v>389</v>
      </c>
      <c r="R4" t="s">
        <v>390</v>
      </c>
      <c r="S4" t="s">
        <v>378</v>
      </c>
      <c r="T4" t="s">
        <v>367</v>
      </c>
    </row>
    <row r="5" spans="1:21" x14ac:dyDescent="0.3">
      <c r="A5" t="s">
        <v>391</v>
      </c>
      <c r="B5" t="s">
        <v>369</v>
      </c>
      <c r="C5" t="s">
        <v>174</v>
      </c>
      <c r="D5" t="s">
        <v>392</v>
      </c>
      <c r="E5" t="s">
        <v>371</v>
      </c>
      <c r="F5" t="s">
        <v>393</v>
      </c>
      <c r="G5" t="s">
        <v>372</v>
      </c>
      <c r="H5" s="19" t="s">
        <v>394</v>
      </c>
      <c r="I5">
        <v>0</v>
      </c>
      <c r="J5">
        <v>0.70099999999999996</v>
      </c>
      <c r="L5" t="s">
        <v>374</v>
      </c>
      <c r="M5" t="s">
        <v>375</v>
      </c>
      <c r="N5" t="s">
        <v>666</v>
      </c>
      <c r="O5" s="3">
        <v>400</v>
      </c>
      <c r="P5" s="3">
        <v>0.10589999999999999</v>
      </c>
      <c r="Q5" t="s">
        <v>395</v>
      </c>
      <c r="R5" t="s">
        <v>396</v>
      </c>
      <c r="S5" t="s">
        <v>378</v>
      </c>
      <c r="T5" t="s">
        <v>367</v>
      </c>
    </row>
    <row r="6" spans="1:21" x14ac:dyDescent="0.3">
      <c r="A6" t="s">
        <v>397</v>
      </c>
      <c r="B6" t="s">
        <v>369</v>
      </c>
      <c r="C6" t="s">
        <v>174</v>
      </c>
      <c r="D6" t="s">
        <v>398</v>
      </c>
      <c r="E6" t="s">
        <v>399</v>
      </c>
      <c r="F6" t="s">
        <v>173</v>
      </c>
      <c r="G6" t="s">
        <v>294</v>
      </c>
      <c r="H6" s="19" t="s">
        <v>400</v>
      </c>
      <c r="I6">
        <v>0.25</v>
      </c>
      <c r="J6">
        <v>8.0000000000000002E-3</v>
      </c>
      <c r="K6" t="s">
        <v>401</v>
      </c>
      <c r="L6" t="s">
        <v>402</v>
      </c>
      <c r="M6" t="s">
        <v>403</v>
      </c>
      <c r="N6" t="s">
        <v>669</v>
      </c>
      <c r="O6" s="3">
        <v>669</v>
      </c>
      <c r="P6" s="3">
        <v>7.7499999999999999E-2</v>
      </c>
      <c r="Q6" t="s">
        <v>404</v>
      </c>
      <c r="R6" t="s">
        <v>405</v>
      </c>
      <c r="S6" t="s">
        <v>378</v>
      </c>
      <c r="T6" t="s">
        <v>367</v>
      </c>
    </row>
    <row r="7" spans="1:21" x14ac:dyDescent="0.3">
      <c r="A7" t="s">
        <v>406</v>
      </c>
      <c r="B7" t="s">
        <v>369</v>
      </c>
      <c r="C7" t="s">
        <v>174</v>
      </c>
      <c r="D7" t="s">
        <v>407</v>
      </c>
      <c r="E7" t="s">
        <v>399</v>
      </c>
      <c r="F7" t="s">
        <v>183</v>
      </c>
      <c r="G7" t="s">
        <v>294</v>
      </c>
      <c r="H7" s="19" t="s">
        <v>408</v>
      </c>
      <c r="I7">
        <v>0.26</v>
      </c>
      <c r="J7">
        <v>0.192</v>
      </c>
      <c r="L7" t="s">
        <v>374</v>
      </c>
      <c r="M7" t="s">
        <v>403</v>
      </c>
      <c r="N7" t="s">
        <v>666</v>
      </c>
      <c r="O7" s="3">
        <v>669</v>
      </c>
      <c r="P7" s="3">
        <v>5.7000000000000002E-2</v>
      </c>
      <c r="Q7" t="s">
        <v>409</v>
      </c>
      <c r="R7" t="s">
        <v>410</v>
      </c>
      <c r="S7" t="s">
        <v>378</v>
      </c>
      <c r="T7" t="s">
        <v>367</v>
      </c>
    </row>
    <row r="8" spans="1:21" x14ac:dyDescent="0.3">
      <c r="A8" t="s">
        <v>411</v>
      </c>
      <c r="B8" t="s">
        <v>369</v>
      </c>
      <c r="C8" t="s">
        <v>174</v>
      </c>
      <c r="D8" t="s">
        <v>412</v>
      </c>
      <c r="E8" t="s">
        <v>399</v>
      </c>
      <c r="F8" t="s">
        <v>182</v>
      </c>
      <c r="G8" t="s">
        <v>294</v>
      </c>
      <c r="H8" s="19" t="s">
        <v>413</v>
      </c>
      <c r="I8">
        <v>0.3</v>
      </c>
      <c r="J8">
        <v>2.1000000000000001E-2</v>
      </c>
      <c r="K8" t="s">
        <v>414</v>
      </c>
      <c r="L8" t="s">
        <v>415</v>
      </c>
      <c r="M8" t="s">
        <v>403</v>
      </c>
      <c r="N8" t="s">
        <v>670</v>
      </c>
      <c r="O8" s="3">
        <v>669</v>
      </c>
      <c r="P8" s="3">
        <v>7.3700000000000002E-2</v>
      </c>
      <c r="Q8" t="s">
        <v>416</v>
      </c>
      <c r="R8" t="s">
        <v>417</v>
      </c>
      <c r="S8" t="s">
        <v>378</v>
      </c>
      <c r="T8" t="s">
        <v>367</v>
      </c>
    </row>
    <row r="9" spans="1:21" x14ac:dyDescent="0.3">
      <c r="A9" t="s">
        <v>418</v>
      </c>
      <c r="B9" t="s">
        <v>369</v>
      </c>
      <c r="C9" t="s">
        <v>174</v>
      </c>
      <c r="D9" t="s">
        <v>419</v>
      </c>
      <c r="E9" t="s">
        <v>420</v>
      </c>
      <c r="F9" t="s">
        <v>421</v>
      </c>
      <c r="G9" t="s">
        <v>422</v>
      </c>
      <c r="H9" s="19" t="s">
        <v>423</v>
      </c>
      <c r="I9">
        <v>-0.01</v>
      </c>
      <c r="J9">
        <v>0.14299999999999999</v>
      </c>
      <c r="L9" t="s">
        <v>374</v>
      </c>
      <c r="M9" t="s">
        <v>424</v>
      </c>
      <c r="N9" t="s">
        <v>666</v>
      </c>
      <c r="O9" s="3">
        <v>400</v>
      </c>
      <c r="P9" s="3">
        <v>0.09</v>
      </c>
      <c r="Q9" t="s">
        <v>425</v>
      </c>
      <c r="R9" t="s">
        <v>426</v>
      </c>
      <c r="S9" t="s">
        <v>378</v>
      </c>
      <c r="T9" t="s">
        <v>367</v>
      </c>
    </row>
    <row r="10" spans="1:21" x14ac:dyDescent="0.3">
      <c r="A10" t="s">
        <v>427</v>
      </c>
      <c r="B10" t="s">
        <v>369</v>
      </c>
      <c r="C10" t="s">
        <v>174</v>
      </c>
      <c r="D10" t="s">
        <v>428</v>
      </c>
      <c r="E10" t="s">
        <v>420</v>
      </c>
      <c r="F10" t="s">
        <v>429</v>
      </c>
      <c r="G10" t="s">
        <v>422</v>
      </c>
      <c r="H10" s="19" t="s">
        <v>430</v>
      </c>
      <c r="I10">
        <v>0</v>
      </c>
      <c r="J10">
        <v>0.14499999999999999</v>
      </c>
      <c r="L10" t="s">
        <v>374</v>
      </c>
      <c r="M10" t="s">
        <v>375</v>
      </c>
      <c r="N10" t="s">
        <v>666</v>
      </c>
      <c r="O10" s="3">
        <v>394</v>
      </c>
      <c r="P10" s="3">
        <v>0.115</v>
      </c>
      <c r="Q10" t="s">
        <v>431</v>
      </c>
      <c r="R10" t="s">
        <v>432</v>
      </c>
      <c r="S10" t="s">
        <v>378</v>
      </c>
      <c r="T10" t="s">
        <v>367</v>
      </c>
    </row>
    <row r="11" spans="1:21" x14ac:dyDescent="0.3">
      <c r="A11" t="s">
        <v>433</v>
      </c>
      <c r="B11" t="s">
        <v>369</v>
      </c>
      <c r="C11" t="s">
        <v>174</v>
      </c>
      <c r="D11" t="s">
        <v>434</v>
      </c>
      <c r="E11" t="s">
        <v>420</v>
      </c>
      <c r="F11" t="s">
        <v>435</v>
      </c>
      <c r="G11" t="s">
        <v>422</v>
      </c>
      <c r="H11" s="19" t="s">
        <v>436</v>
      </c>
      <c r="I11">
        <v>-0.01</v>
      </c>
      <c r="J11">
        <v>5.1999999999999998E-2</v>
      </c>
      <c r="K11" t="s">
        <v>414</v>
      </c>
      <c r="L11" t="s">
        <v>437</v>
      </c>
      <c r="M11" t="s">
        <v>424</v>
      </c>
      <c r="N11" t="s">
        <v>667</v>
      </c>
      <c r="O11" s="3">
        <v>400</v>
      </c>
      <c r="P11" s="3">
        <v>9.9900000000000003E-2</v>
      </c>
      <c r="Q11" t="s">
        <v>438</v>
      </c>
      <c r="R11" t="s">
        <v>439</v>
      </c>
      <c r="S11" t="s">
        <v>440</v>
      </c>
      <c r="T11" t="s">
        <v>367</v>
      </c>
    </row>
    <row r="12" spans="1:21" x14ac:dyDescent="0.3">
      <c r="A12" t="s">
        <v>441</v>
      </c>
      <c r="B12" t="s">
        <v>369</v>
      </c>
      <c r="C12" t="s">
        <v>174</v>
      </c>
      <c r="D12" t="s">
        <v>442</v>
      </c>
      <c r="E12" t="s">
        <v>420</v>
      </c>
      <c r="F12" t="s">
        <v>443</v>
      </c>
      <c r="G12" t="s">
        <v>422</v>
      </c>
      <c r="H12" s="19" t="s">
        <v>444</v>
      </c>
      <c r="I12">
        <v>0.01</v>
      </c>
      <c r="J12">
        <v>8.8999999999999996E-2</v>
      </c>
      <c r="L12" t="s">
        <v>437</v>
      </c>
      <c r="M12" t="s">
        <v>403</v>
      </c>
      <c r="N12" t="s">
        <v>668</v>
      </c>
      <c r="O12" s="3">
        <v>400</v>
      </c>
      <c r="P12" s="3">
        <v>0.1134</v>
      </c>
      <c r="Q12" t="s">
        <v>445</v>
      </c>
      <c r="R12" t="s">
        <v>446</v>
      </c>
      <c r="S12" t="s">
        <v>378</v>
      </c>
      <c r="T12" t="s">
        <v>367</v>
      </c>
    </row>
    <row r="13" spans="1:21" x14ac:dyDescent="0.3">
      <c r="A13" t="s">
        <v>368</v>
      </c>
      <c r="B13" t="s">
        <v>369</v>
      </c>
      <c r="C13" t="s">
        <v>175</v>
      </c>
      <c r="D13" t="s">
        <v>447</v>
      </c>
      <c r="E13" t="s">
        <v>371</v>
      </c>
      <c r="F13" t="s">
        <v>169</v>
      </c>
      <c r="G13" t="s">
        <v>372</v>
      </c>
      <c r="H13" s="19" t="s">
        <v>448</v>
      </c>
      <c r="I13">
        <v>-0.12</v>
      </c>
      <c r="J13">
        <v>0.65200000000000002</v>
      </c>
      <c r="L13" t="s">
        <v>374</v>
      </c>
      <c r="M13" t="s">
        <v>424</v>
      </c>
      <c r="N13" t="s">
        <v>666</v>
      </c>
      <c r="O13" s="3">
        <v>426</v>
      </c>
      <c r="P13" s="3">
        <v>3.6200000000000003E-2</v>
      </c>
      <c r="Q13" t="s">
        <v>449</v>
      </c>
      <c r="R13" t="s">
        <v>450</v>
      </c>
      <c r="S13" t="s">
        <v>378</v>
      </c>
      <c r="T13" t="s">
        <v>367</v>
      </c>
    </row>
    <row r="14" spans="1:21" x14ac:dyDescent="0.3">
      <c r="A14" t="s">
        <v>379</v>
      </c>
      <c r="B14" t="s">
        <v>369</v>
      </c>
      <c r="C14" t="s">
        <v>175</v>
      </c>
      <c r="D14" t="s">
        <v>451</v>
      </c>
      <c r="E14" t="s">
        <v>371</v>
      </c>
      <c r="F14" t="s">
        <v>381</v>
      </c>
      <c r="G14" t="s">
        <v>372</v>
      </c>
      <c r="H14" s="19" t="s">
        <v>452</v>
      </c>
      <c r="I14">
        <v>0</v>
      </c>
      <c r="J14">
        <v>0.86099999999999999</v>
      </c>
      <c r="L14" t="s">
        <v>374</v>
      </c>
      <c r="M14" t="s">
        <v>375</v>
      </c>
      <c r="N14" t="s">
        <v>666</v>
      </c>
      <c r="O14" s="3">
        <v>420</v>
      </c>
      <c r="P14" s="3">
        <v>3.56E-2</v>
      </c>
      <c r="Q14" t="s">
        <v>453</v>
      </c>
      <c r="R14" t="s">
        <v>454</v>
      </c>
      <c r="S14" t="s">
        <v>378</v>
      </c>
      <c r="T14" t="s">
        <v>367</v>
      </c>
    </row>
    <row r="15" spans="1:21" x14ac:dyDescent="0.3">
      <c r="A15" t="s">
        <v>385</v>
      </c>
      <c r="B15" t="s">
        <v>369</v>
      </c>
      <c r="C15" t="s">
        <v>175</v>
      </c>
      <c r="D15" t="s">
        <v>386</v>
      </c>
      <c r="E15" t="s">
        <v>371</v>
      </c>
      <c r="F15" t="s">
        <v>387</v>
      </c>
      <c r="G15" t="s">
        <v>372</v>
      </c>
      <c r="H15" s="19" t="s">
        <v>455</v>
      </c>
      <c r="I15">
        <v>0</v>
      </c>
      <c r="J15">
        <v>0.84199999999999997</v>
      </c>
      <c r="L15" t="s">
        <v>374</v>
      </c>
      <c r="M15" t="s">
        <v>375</v>
      </c>
      <c r="N15" t="s">
        <v>666</v>
      </c>
      <c r="O15" s="3">
        <v>426</v>
      </c>
      <c r="P15" s="3">
        <v>3.5900000000000001E-2</v>
      </c>
      <c r="Q15" t="s">
        <v>456</v>
      </c>
      <c r="R15" t="s">
        <v>457</v>
      </c>
      <c r="S15" t="s">
        <v>378</v>
      </c>
      <c r="T15" t="s">
        <v>367</v>
      </c>
    </row>
    <row r="16" spans="1:21" x14ac:dyDescent="0.3">
      <c r="A16" t="s">
        <v>391</v>
      </c>
      <c r="B16" t="s">
        <v>369</v>
      </c>
      <c r="C16" t="s">
        <v>175</v>
      </c>
      <c r="D16" t="s">
        <v>392</v>
      </c>
      <c r="E16" t="s">
        <v>371</v>
      </c>
      <c r="F16" t="s">
        <v>393</v>
      </c>
      <c r="G16" t="s">
        <v>372</v>
      </c>
      <c r="H16" s="19" t="s">
        <v>458</v>
      </c>
      <c r="I16">
        <v>-0.01</v>
      </c>
      <c r="J16">
        <v>0.71299999999999997</v>
      </c>
      <c r="L16" t="s">
        <v>374</v>
      </c>
      <c r="M16" t="s">
        <v>424</v>
      </c>
      <c r="N16" t="s">
        <v>666</v>
      </c>
      <c r="O16" s="3">
        <v>426</v>
      </c>
      <c r="P16" s="3">
        <v>3.6200000000000003E-2</v>
      </c>
      <c r="Q16" t="s">
        <v>459</v>
      </c>
      <c r="R16" t="s">
        <v>450</v>
      </c>
      <c r="S16" t="s">
        <v>378</v>
      </c>
      <c r="T16" t="s">
        <v>367</v>
      </c>
    </row>
    <row r="17" spans="1:20" x14ac:dyDescent="0.3">
      <c r="A17" t="s">
        <v>397</v>
      </c>
      <c r="B17" t="s">
        <v>369</v>
      </c>
      <c r="C17" t="s">
        <v>175</v>
      </c>
      <c r="D17" t="s">
        <v>398</v>
      </c>
      <c r="E17" t="s">
        <v>399</v>
      </c>
      <c r="F17" t="s">
        <v>173</v>
      </c>
      <c r="G17" t="s">
        <v>294</v>
      </c>
      <c r="H17" s="19" t="s">
        <v>460</v>
      </c>
      <c r="I17">
        <v>0.44</v>
      </c>
      <c r="J17">
        <v>0.16900000000000001</v>
      </c>
      <c r="L17" t="s">
        <v>374</v>
      </c>
      <c r="M17" t="s">
        <v>403</v>
      </c>
      <c r="N17" t="s">
        <v>666</v>
      </c>
      <c r="O17" s="3">
        <v>747</v>
      </c>
      <c r="P17" s="3">
        <v>1.37E-2</v>
      </c>
      <c r="Q17" t="s">
        <v>461</v>
      </c>
      <c r="R17" t="s">
        <v>462</v>
      </c>
      <c r="S17" t="s">
        <v>440</v>
      </c>
      <c r="T17" t="s">
        <v>367</v>
      </c>
    </row>
    <row r="18" spans="1:20" x14ac:dyDescent="0.3">
      <c r="A18" t="s">
        <v>406</v>
      </c>
      <c r="B18" t="s">
        <v>369</v>
      </c>
      <c r="C18" t="s">
        <v>175</v>
      </c>
      <c r="D18" t="s">
        <v>407</v>
      </c>
      <c r="E18" t="s">
        <v>399</v>
      </c>
      <c r="F18" t="s">
        <v>183</v>
      </c>
      <c r="G18" t="s">
        <v>294</v>
      </c>
      <c r="H18" s="19" t="s">
        <v>463</v>
      </c>
      <c r="I18">
        <v>0.72</v>
      </c>
      <c r="J18">
        <v>0.34499999999999997</v>
      </c>
      <c r="L18" t="s">
        <v>374</v>
      </c>
      <c r="M18" t="s">
        <v>403</v>
      </c>
      <c r="N18" t="s">
        <v>666</v>
      </c>
      <c r="O18" s="3">
        <v>747</v>
      </c>
      <c r="P18" s="3">
        <v>1.29E-2</v>
      </c>
      <c r="Q18" t="s">
        <v>464</v>
      </c>
      <c r="R18" t="s">
        <v>465</v>
      </c>
      <c r="S18" t="s">
        <v>440</v>
      </c>
      <c r="T18" t="s">
        <v>367</v>
      </c>
    </row>
    <row r="19" spans="1:20" x14ac:dyDescent="0.3">
      <c r="A19" t="s">
        <v>411</v>
      </c>
      <c r="B19" t="s">
        <v>369</v>
      </c>
      <c r="C19" t="s">
        <v>175</v>
      </c>
      <c r="D19" t="s">
        <v>412</v>
      </c>
      <c r="E19" t="s">
        <v>399</v>
      </c>
      <c r="F19" t="s">
        <v>182</v>
      </c>
      <c r="G19" t="s">
        <v>294</v>
      </c>
      <c r="H19" s="19" t="s">
        <v>466</v>
      </c>
      <c r="I19">
        <v>0.77</v>
      </c>
      <c r="J19">
        <v>0.311</v>
      </c>
      <c r="L19" t="s">
        <v>374</v>
      </c>
      <c r="M19" t="s">
        <v>403</v>
      </c>
      <c r="N19" t="s">
        <v>666</v>
      </c>
      <c r="O19" s="3">
        <v>747</v>
      </c>
      <c r="P19" s="3">
        <v>1.43E-2</v>
      </c>
      <c r="Q19" t="s">
        <v>467</v>
      </c>
      <c r="R19" t="s">
        <v>468</v>
      </c>
      <c r="S19" t="s">
        <v>440</v>
      </c>
      <c r="T19" t="s">
        <v>367</v>
      </c>
    </row>
    <row r="20" spans="1:20" x14ac:dyDescent="0.3">
      <c r="A20" t="s">
        <v>418</v>
      </c>
      <c r="B20" t="s">
        <v>369</v>
      </c>
      <c r="C20" t="s">
        <v>175</v>
      </c>
      <c r="D20" t="s">
        <v>469</v>
      </c>
      <c r="E20" t="s">
        <v>420</v>
      </c>
      <c r="F20" t="s">
        <v>421</v>
      </c>
      <c r="G20" t="s">
        <v>422</v>
      </c>
      <c r="H20" s="19" t="s">
        <v>470</v>
      </c>
      <c r="I20">
        <v>0.05</v>
      </c>
      <c r="J20">
        <v>0.13</v>
      </c>
      <c r="L20" t="s">
        <v>374</v>
      </c>
      <c r="M20" t="s">
        <v>403</v>
      </c>
      <c r="N20" t="s">
        <v>666</v>
      </c>
      <c r="O20" s="3">
        <v>426</v>
      </c>
      <c r="P20" s="3">
        <v>3.9800000000000002E-2</v>
      </c>
      <c r="Q20" t="s">
        <v>471</v>
      </c>
      <c r="R20" t="s">
        <v>472</v>
      </c>
      <c r="S20" t="s">
        <v>378</v>
      </c>
      <c r="T20" t="s">
        <v>367</v>
      </c>
    </row>
    <row r="21" spans="1:20" x14ac:dyDescent="0.3">
      <c r="A21" t="s">
        <v>427</v>
      </c>
      <c r="B21" t="s">
        <v>369</v>
      </c>
      <c r="C21" t="s">
        <v>175</v>
      </c>
      <c r="D21" t="s">
        <v>428</v>
      </c>
      <c r="E21" t="s">
        <v>420</v>
      </c>
      <c r="F21" t="s">
        <v>429</v>
      </c>
      <c r="G21" t="s">
        <v>422</v>
      </c>
      <c r="H21" s="19" t="s">
        <v>473</v>
      </c>
      <c r="I21">
        <v>0.01</v>
      </c>
      <c r="J21">
        <v>0.57699999999999996</v>
      </c>
      <c r="L21" t="s">
        <v>374</v>
      </c>
      <c r="M21" t="s">
        <v>403</v>
      </c>
      <c r="N21" t="s">
        <v>666</v>
      </c>
      <c r="O21" s="3">
        <v>420</v>
      </c>
      <c r="P21" s="3">
        <v>3.61E-2</v>
      </c>
      <c r="Q21" t="s">
        <v>474</v>
      </c>
      <c r="R21" t="s">
        <v>475</v>
      </c>
      <c r="S21" t="s">
        <v>378</v>
      </c>
      <c r="T21" t="s">
        <v>367</v>
      </c>
    </row>
    <row r="22" spans="1:20" x14ac:dyDescent="0.3">
      <c r="A22" t="s">
        <v>433</v>
      </c>
      <c r="B22" t="s">
        <v>369</v>
      </c>
      <c r="C22" t="s">
        <v>175</v>
      </c>
      <c r="D22" t="s">
        <v>434</v>
      </c>
      <c r="E22" t="s">
        <v>420</v>
      </c>
      <c r="F22" t="s">
        <v>435</v>
      </c>
      <c r="G22" t="s">
        <v>422</v>
      </c>
      <c r="H22" s="19" t="s">
        <v>476</v>
      </c>
      <c r="I22">
        <v>0.03</v>
      </c>
      <c r="J22">
        <v>0.25700000000000001</v>
      </c>
      <c r="L22" t="s">
        <v>374</v>
      </c>
      <c r="M22" t="s">
        <v>403</v>
      </c>
      <c r="N22" t="s">
        <v>666</v>
      </c>
      <c r="O22" s="3">
        <v>426</v>
      </c>
      <c r="P22" s="3">
        <v>3.78E-2</v>
      </c>
      <c r="Q22" t="s">
        <v>477</v>
      </c>
      <c r="R22" t="s">
        <v>478</v>
      </c>
      <c r="S22" t="s">
        <v>378</v>
      </c>
      <c r="T22" t="s">
        <v>367</v>
      </c>
    </row>
    <row r="23" spans="1:20" x14ac:dyDescent="0.3">
      <c r="A23" t="s">
        <v>441</v>
      </c>
      <c r="B23" t="s">
        <v>369</v>
      </c>
      <c r="C23" t="s">
        <v>175</v>
      </c>
      <c r="D23" t="s">
        <v>442</v>
      </c>
      <c r="E23" t="s">
        <v>420</v>
      </c>
      <c r="F23" t="s">
        <v>443</v>
      </c>
      <c r="G23" t="s">
        <v>422</v>
      </c>
      <c r="H23" s="19" t="s">
        <v>479</v>
      </c>
      <c r="I23">
        <v>0.05</v>
      </c>
      <c r="J23">
        <v>0.01</v>
      </c>
      <c r="K23" t="s">
        <v>401</v>
      </c>
      <c r="L23" t="s">
        <v>402</v>
      </c>
      <c r="M23" t="s">
        <v>403</v>
      </c>
      <c r="N23" t="s">
        <v>669</v>
      </c>
      <c r="O23" s="3">
        <v>426</v>
      </c>
      <c r="P23" s="3">
        <v>4.2200000000000001E-2</v>
      </c>
      <c r="Q23" t="s">
        <v>480</v>
      </c>
      <c r="R23" t="s">
        <v>481</v>
      </c>
      <c r="S23" t="s">
        <v>378</v>
      </c>
      <c r="T23" t="s">
        <v>367</v>
      </c>
    </row>
    <row r="24" spans="1:20" x14ac:dyDescent="0.3">
      <c r="A24" t="s">
        <v>368</v>
      </c>
      <c r="B24" t="s">
        <v>369</v>
      </c>
      <c r="C24" t="s">
        <v>176</v>
      </c>
      <c r="D24" t="s">
        <v>447</v>
      </c>
      <c r="E24" t="s">
        <v>371</v>
      </c>
      <c r="F24" t="s">
        <v>169</v>
      </c>
      <c r="G24" t="s">
        <v>372</v>
      </c>
      <c r="H24" s="19" t="s">
        <v>482</v>
      </c>
      <c r="I24">
        <v>0.01</v>
      </c>
      <c r="J24">
        <v>0.79400000000000004</v>
      </c>
      <c r="L24" t="s">
        <v>374</v>
      </c>
      <c r="M24" t="s">
        <v>403</v>
      </c>
      <c r="N24" t="s">
        <v>666</v>
      </c>
      <c r="O24" s="3">
        <v>424</v>
      </c>
      <c r="P24" s="3">
        <v>0.22589999999999999</v>
      </c>
      <c r="Q24" t="s">
        <v>483</v>
      </c>
      <c r="R24" t="s">
        <v>484</v>
      </c>
      <c r="S24" t="s">
        <v>378</v>
      </c>
      <c r="T24" t="s">
        <v>367</v>
      </c>
    </row>
    <row r="25" spans="1:20" x14ac:dyDescent="0.3">
      <c r="A25" t="s">
        <v>379</v>
      </c>
      <c r="B25" t="s">
        <v>369</v>
      </c>
      <c r="C25" t="s">
        <v>176</v>
      </c>
      <c r="D25" t="s">
        <v>380</v>
      </c>
      <c r="E25" t="s">
        <v>371</v>
      </c>
      <c r="F25" t="s">
        <v>381</v>
      </c>
      <c r="G25" t="s">
        <v>372</v>
      </c>
      <c r="H25" s="19" t="s">
        <v>485</v>
      </c>
      <c r="I25">
        <v>0.01</v>
      </c>
      <c r="J25">
        <v>0.871</v>
      </c>
      <c r="L25" t="s">
        <v>374</v>
      </c>
      <c r="M25" t="s">
        <v>403</v>
      </c>
      <c r="N25" t="s">
        <v>666</v>
      </c>
      <c r="O25" s="3">
        <v>418</v>
      </c>
      <c r="P25" s="3">
        <v>0.22589999999999999</v>
      </c>
      <c r="Q25" t="s">
        <v>486</v>
      </c>
      <c r="R25" t="s">
        <v>487</v>
      </c>
      <c r="S25" t="s">
        <v>378</v>
      </c>
      <c r="T25" t="s">
        <v>367</v>
      </c>
    </row>
    <row r="26" spans="1:20" x14ac:dyDescent="0.3">
      <c r="A26" t="s">
        <v>385</v>
      </c>
      <c r="B26" t="s">
        <v>369</v>
      </c>
      <c r="C26" t="s">
        <v>176</v>
      </c>
      <c r="D26" t="s">
        <v>488</v>
      </c>
      <c r="E26" t="s">
        <v>371</v>
      </c>
      <c r="F26" t="s">
        <v>387</v>
      </c>
      <c r="G26" t="s">
        <v>372</v>
      </c>
      <c r="H26" s="19" t="s">
        <v>489</v>
      </c>
      <c r="I26">
        <v>0.03</v>
      </c>
      <c r="J26">
        <v>0.46700000000000003</v>
      </c>
      <c r="L26" t="s">
        <v>374</v>
      </c>
      <c r="M26" t="s">
        <v>403</v>
      </c>
      <c r="N26" t="s">
        <v>666</v>
      </c>
      <c r="O26" s="3">
        <v>424</v>
      </c>
      <c r="P26" s="3">
        <v>0.22670000000000001</v>
      </c>
      <c r="Q26" t="s">
        <v>490</v>
      </c>
      <c r="R26" t="s">
        <v>491</v>
      </c>
      <c r="S26" t="s">
        <v>378</v>
      </c>
      <c r="T26" t="s">
        <v>367</v>
      </c>
    </row>
    <row r="27" spans="1:20" x14ac:dyDescent="0.3">
      <c r="A27" t="s">
        <v>391</v>
      </c>
      <c r="B27" t="s">
        <v>369</v>
      </c>
      <c r="C27" t="s">
        <v>176</v>
      </c>
      <c r="D27" t="s">
        <v>392</v>
      </c>
      <c r="E27" t="s">
        <v>371</v>
      </c>
      <c r="F27" t="s">
        <v>393</v>
      </c>
      <c r="G27" t="s">
        <v>372</v>
      </c>
      <c r="H27" s="19" t="s">
        <v>492</v>
      </c>
      <c r="I27">
        <v>0.04</v>
      </c>
      <c r="J27">
        <v>0.32900000000000001</v>
      </c>
      <c r="L27" t="s">
        <v>374</v>
      </c>
      <c r="M27" t="s">
        <v>403</v>
      </c>
      <c r="N27" t="s">
        <v>666</v>
      </c>
      <c r="O27" s="3">
        <v>424</v>
      </c>
      <c r="P27" s="3">
        <v>0.22700000000000001</v>
      </c>
      <c r="Q27" t="s">
        <v>493</v>
      </c>
      <c r="R27" t="s">
        <v>494</v>
      </c>
      <c r="S27" t="s">
        <v>378</v>
      </c>
      <c r="T27" t="s">
        <v>367</v>
      </c>
    </row>
    <row r="28" spans="1:20" x14ac:dyDescent="0.3">
      <c r="A28" t="s">
        <v>397</v>
      </c>
      <c r="B28" t="s">
        <v>369</v>
      </c>
      <c r="C28" t="s">
        <v>176</v>
      </c>
      <c r="D28" t="s">
        <v>398</v>
      </c>
      <c r="E28" t="s">
        <v>399</v>
      </c>
      <c r="F28" t="s">
        <v>173</v>
      </c>
      <c r="G28" t="s">
        <v>294</v>
      </c>
      <c r="H28" s="19" t="s">
        <v>495</v>
      </c>
      <c r="I28">
        <v>-0.97</v>
      </c>
      <c r="J28">
        <v>0.38800000000000001</v>
      </c>
      <c r="L28" t="s">
        <v>374</v>
      </c>
      <c r="M28" t="s">
        <v>424</v>
      </c>
      <c r="N28" t="s">
        <v>666</v>
      </c>
      <c r="O28" s="3">
        <v>745</v>
      </c>
      <c r="P28" s="3">
        <v>0.13350000000000001</v>
      </c>
      <c r="Q28" t="s">
        <v>496</v>
      </c>
      <c r="R28" t="s">
        <v>497</v>
      </c>
      <c r="S28" t="s">
        <v>440</v>
      </c>
      <c r="T28" t="s">
        <v>367</v>
      </c>
    </row>
    <row r="29" spans="1:20" x14ac:dyDescent="0.3">
      <c r="A29" t="s">
        <v>406</v>
      </c>
      <c r="B29" t="s">
        <v>369</v>
      </c>
      <c r="C29" t="s">
        <v>176</v>
      </c>
      <c r="D29" t="s">
        <v>407</v>
      </c>
      <c r="E29" t="s">
        <v>399</v>
      </c>
      <c r="F29" t="s">
        <v>183</v>
      </c>
      <c r="G29" t="s">
        <v>294</v>
      </c>
      <c r="H29" s="19" t="s">
        <v>498</v>
      </c>
      <c r="I29">
        <v>1.3220000000000001</v>
      </c>
      <c r="J29">
        <v>0.64</v>
      </c>
      <c r="L29" t="s">
        <v>374</v>
      </c>
      <c r="M29" t="s">
        <v>403</v>
      </c>
      <c r="N29" t="s">
        <v>666</v>
      </c>
      <c r="O29" s="3">
        <v>745</v>
      </c>
      <c r="P29" s="3">
        <v>0.13370000000000001</v>
      </c>
      <c r="Q29" t="s">
        <v>499</v>
      </c>
      <c r="R29" t="s">
        <v>500</v>
      </c>
      <c r="S29" t="s">
        <v>440</v>
      </c>
      <c r="T29" t="s">
        <v>367</v>
      </c>
    </row>
    <row r="30" spans="1:20" x14ac:dyDescent="0.3">
      <c r="A30" t="s">
        <v>411</v>
      </c>
      <c r="B30" t="s">
        <v>369</v>
      </c>
      <c r="C30" t="s">
        <v>176</v>
      </c>
      <c r="D30" t="s">
        <v>412</v>
      </c>
      <c r="E30" t="s">
        <v>399</v>
      </c>
      <c r="F30" t="s">
        <v>182</v>
      </c>
      <c r="G30" t="s">
        <v>294</v>
      </c>
      <c r="H30" s="19" t="s">
        <v>501</v>
      </c>
      <c r="I30">
        <v>0.42</v>
      </c>
      <c r="J30">
        <v>0.84799999999999998</v>
      </c>
      <c r="L30" t="s">
        <v>374</v>
      </c>
      <c r="M30" t="s">
        <v>403</v>
      </c>
      <c r="N30" t="s">
        <v>666</v>
      </c>
      <c r="O30" s="3">
        <v>745</v>
      </c>
      <c r="P30" s="3">
        <v>0.13320000000000001</v>
      </c>
      <c r="Q30" t="s">
        <v>502</v>
      </c>
      <c r="R30" t="s">
        <v>503</v>
      </c>
      <c r="S30" t="s">
        <v>440</v>
      </c>
      <c r="T30" t="s">
        <v>367</v>
      </c>
    </row>
    <row r="31" spans="1:20" x14ac:dyDescent="0.3">
      <c r="A31" t="s">
        <v>418</v>
      </c>
      <c r="B31" t="s">
        <v>369</v>
      </c>
      <c r="C31" t="s">
        <v>176</v>
      </c>
      <c r="D31" t="s">
        <v>419</v>
      </c>
      <c r="E31" t="s">
        <v>420</v>
      </c>
      <c r="F31" t="s">
        <v>421</v>
      </c>
      <c r="G31" t="s">
        <v>422</v>
      </c>
      <c r="H31" s="19" t="s">
        <v>504</v>
      </c>
      <c r="I31">
        <v>-0.12</v>
      </c>
      <c r="J31">
        <v>0.83299999999999996</v>
      </c>
      <c r="L31" t="s">
        <v>374</v>
      </c>
      <c r="M31" t="s">
        <v>424</v>
      </c>
      <c r="N31" t="s">
        <v>666</v>
      </c>
      <c r="O31" s="3">
        <v>424</v>
      </c>
      <c r="P31" s="3">
        <v>0.23519999999999999</v>
      </c>
      <c r="Q31" t="s">
        <v>505</v>
      </c>
      <c r="R31" t="s">
        <v>506</v>
      </c>
      <c r="S31" t="s">
        <v>378</v>
      </c>
      <c r="T31" t="s">
        <v>367</v>
      </c>
    </row>
    <row r="32" spans="1:20" x14ac:dyDescent="0.3">
      <c r="A32" t="s">
        <v>427</v>
      </c>
      <c r="B32" t="s">
        <v>369</v>
      </c>
      <c r="C32" t="s">
        <v>176</v>
      </c>
      <c r="D32" t="s">
        <v>428</v>
      </c>
      <c r="E32" t="s">
        <v>420</v>
      </c>
      <c r="F32" t="s">
        <v>429</v>
      </c>
      <c r="G32" t="s">
        <v>422</v>
      </c>
      <c r="H32" s="19" t="s">
        <v>507</v>
      </c>
      <c r="I32">
        <v>-7.0000000000000007E-2</v>
      </c>
      <c r="J32">
        <v>0.313</v>
      </c>
      <c r="L32" t="s">
        <v>374</v>
      </c>
      <c r="M32" t="s">
        <v>424</v>
      </c>
      <c r="N32" t="s">
        <v>666</v>
      </c>
      <c r="O32" s="3">
        <v>418</v>
      </c>
      <c r="P32" s="3">
        <v>0.23710000000000001</v>
      </c>
      <c r="Q32" t="s">
        <v>508</v>
      </c>
      <c r="R32" t="s">
        <v>509</v>
      </c>
      <c r="S32" t="s">
        <v>378</v>
      </c>
      <c r="T32" t="s">
        <v>367</v>
      </c>
    </row>
    <row r="33" spans="1:20" x14ac:dyDescent="0.3">
      <c r="A33" t="s">
        <v>433</v>
      </c>
      <c r="B33" t="s">
        <v>369</v>
      </c>
      <c r="C33" t="s">
        <v>176</v>
      </c>
      <c r="D33" t="s">
        <v>434</v>
      </c>
      <c r="E33" t="s">
        <v>420</v>
      </c>
      <c r="F33" t="s">
        <v>435</v>
      </c>
      <c r="G33" t="s">
        <v>422</v>
      </c>
      <c r="H33" s="19" t="s">
        <v>510</v>
      </c>
      <c r="I33">
        <v>-0.04</v>
      </c>
      <c r="J33">
        <v>0.56899999999999995</v>
      </c>
      <c r="L33" t="s">
        <v>374</v>
      </c>
      <c r="M33" t="s">
        <v>424</v>
      </c>
      <c r="N33" t="s">
        <v>666</v>
      </c>
      <c r="O33" s="3">
        <v>424</v>
      </c>
      <c r="P33" s="3">
        <v>0.23619999999999999</v>
      </c>
      <c r="Q33" t="s">
        <v>511</v>
      </c>
      <c r="R33" t="s">
        <v>512</v>
      </c>
      <c r="S33" t="s">
        <v>378</v>
      </c>
      <c r="T33" t="s">
        <v>367</v>
      </c>
    </row>
    <row r="34" spans="1:20" x14ac:dyDescent="0.3">
      <c r="A34" t="s">
        <v>441</v>
      </c>
      <c r="B34" t="s">
        <v>369</v>
      </c>
      <c r="C34" t="s">
        <v>176</v>
      </c>
      <c r="D34" t="s">
        <v>442</v>
      </c>
      <c r="E34" t="s">
        <v>420</v>
      </c>
      <c r="F34" t="s">
        <v>443</v>
      </c>
      <c r="G34" t="s">
        <v>422</v>
      </c>
      <c r="H34" s="19" t="s">
        <v>513</v>
      </c>
      <c r="I34">
        <v>0.08</v>
      </c>
      <c r="J34">
        <v>0.06</v>
      </c>
      <c r="K34" t="s">
        <v>514</v>
      </c>
      <c r="L34" t="s">
        <v>437</v>
      </c>
      <c r="M34" t="s">
        <v>403</v>
      </c>
      <c r="N34" t="s">
        <v>668</v>
      </c>
      <c r="O34" s="3">
        <v>424</v>
      </c>
      <c r="P34" s="3">
        <v>0.2397</v>
      </c>
      <c r="Q34" t="s">
        <v>515</v>
      </c>
      <c r="R34" t="s">
        <v>516</v>
      </c>
      <c r="S34" t="s">
        <v>378</v>
      </c>
      <c r="T34" t="s">
        <v>367</v>
      </c>
    </row>
    <row r="35" spans="1:20" x14ac:dyDescent="0.3">
      <c r="A35" t="s">
        <v>368</v>
      </c>
      <c r="B35" t="s">
        <v>517</v>
      </c>
      <c r="C35" t="s">
        <v>174</v>
      </c>
      <c r="D35" t="s">
        <v>447</v>
      </c>
      <c r="E35" t="s">
        <v>371</v>
      </c>
      <c r="F35" t="s">
        <v>169</v>
      </c>
      <c r="G35" t="s">
        <v>372</v>
      </c>
      <c r="H35" s="19" t="s">
        <v>518</v>
      </c>
      <c r="I35">
        <v>0</v>
      </c>
      <c r="J35">
        <v>0.97199999999999998</v>
      </c>
      <c r="L35" t="s">
        <v>374</v>
      </c>
      <c r="M35" t="s">
        <v>375</v>
      </c>
      <c r="N35" t="s">
        <v>666</v>
      </c>
      <c r="O35" s="3">
        <v>125</v>
      </c>
      <c r="P35" s="3">
        <v>9.6699999999999994E-2</v>
      </c>
      <c r="Q35" t="s">
        <v>519</v>
      </c>
      <c r="R35" t="s">
        <v>520</v>
      </c>
      <c r="S35" t="s">
        <v>378</v>
      </c>
      <c r="T35" t="s">
        <v>367</v>
      </c>
    </row>
    <row r="36" spans="1:20" x14ac:dyDescent="0.3">
      <c r="A36" t="s">
        <v>379</v>
      </c>
      <c r="B36" t="s">
        <v>517</v>
      </c>
      <c r="C36" t="s">
        <v>174</v>
      </c>
      <c r="D36" t="s">
        <v>380</v>
      </c>
      <c r="E36" t="s">
        <v>371</v>
      </c>
      <c r="F36" t="s">
        <v>381</v>
      </c>
      <c r="G36" t="s">
        <v>372</v>
      </c>
      <c r="H36" s="19" t="s">
        <v>521</v>
      </c>
      <c r="I36">
        <v>0</v>
      </c>
      <c r="J36">
        <v>0.98699999999999999</v>
      </c>
      <c r="L36" t="s">
        <v>374</v>
      </c>
      <c r="M36" t="s">
        <v>375</v>
      </c>
      <c r="N36" t="s">
        <v>666</v>
      </c>
      <c r="O36" s="3">
        <v>119</v>
      </c>
      <c r="P36" s="3">
        <v>0.21029999999999999</v>
      </c>
      <c r="Q36" t="s">
        <v>522</v>
      </c>
      <c r="R36" t="s">
        <v>523</v>
      </c>
      <c r="S36" t="s">
        <v>378</v>
      </c>
      <c r="T36" t="s">
        <v>367</v>
      </c>
    </row>
    <row r="37" spans="1:20" x14ac:dyDescent="0.3">
      <c r="A37" t="s">
        <v>385</v>
      </c>
      <c r="B37" t="s">
        <v>517</v>
      </c>
      <c r="C37" t="s">
        <v>174</v>
      </c>
      <c r="D37" t="s">
        <v>488</v>
      </c>
      <c r="E37" t="s">
        <v>371</v>
      </c>
      <c r="F37" t="s">
        <v>387</v>
      </c>
      <c r="G37" t="s">
        <v>372</v>
      </c>
      <c r="H37" s="19" t="s">
        <v>524</v>
      </c>
      <c r="I37">
        <v>0</v>
      </c>
      <c r="J37">
        <v>0.75800000000000001</v>
      </c>
      <c r="L37" t="s">
        <v>374</v>
      </c>
      <c r="M37" t="s">
        <v>375</v>
      </c>
      <c r="N37" t="s">
        <v>666</v>
      </c>
      <c r="O37" s="3">
        <v>125</v>
      </c>
      <c r="P37" s="3">
        <v>0.19239999999999999</v>
      </c>
      <c r="Q37" t="s">
        <v>525</v>
      </c>
      <c r="R37" t="s">
        <v>526</v>
      </c>
      <c r="S37" t="s">
        <v>378</v>
      </c>
      <c r="T37" t="s">
        <v>367</v>
      </c>
    </row>
    <row r="38" spans="1:20" x14ac:dyDescent="0.3">
      <c r="A38" t="s">
        <v>391</v>
      </c>
      <c r="B38" t="s">
        <v>517</v>
      </c>
      <c r="C38" t="s">
        <v>174</v>
      </c>
      <c r="D38" t="s">
        <v>527</v>
      </c>
      <c r="E38" t="s">
        <v>371</v>
      </c>
      <c r="F38" t="s">
        <v>393</v>
      </c>
      <c r="G38" t="s">
        <v>372</v>
      </c>
      <c r="H38" s="19" t="s">
        <v>528</v>
      </c>
      <c r="I38">
        <v>-0.11</v>
      </c>
      <c r="J38">
        <v>0.154</v>
      </c>
      <c r="L38" t="s">
        <v>374</v>
      </c>
      <c r="M38" t="s">
        <v>424</v>
      </c>
      <c r="N38" t="s">
        <v>666</v>
      </c>
      <c r="O38" s="3">
        <v>125</v>
      </c>
      <c r="P38" s="3">
        <v>0.22489999999999999</v>
      </c>
      <c r="Q38" t="s">
        <v>529</v>
      </c>
      <c r="R38" t="s">
        <v>530</v>
      </c>
      <c r="S38" t="s">
        <v>378</v>
      </c>
      <c r="T38" t="s">
        <v>367</v>
      </c>
    </row>
    <row r="39" spans="1:20" x14ac:dyDescent="0.3">
      <c r="A39" t="s">
        <v>397</v>
      </c>
      <c r="B39" t="s">
        <v>517</v>
      </c>
      <c r="C39" t="s">
        <v>174</v>
      </c>
      <c r="D39" t="s">
        <v>398</v>
      </c>
      <c r="E39" t="s">
        <v>399</v>
      </c>
      <c r="F39" t="s">
        <v>173</v>
      </c>
      <c r="G39" t="s">
        <v>294</v>
      </c>
      <c r="H39" s="19" t="s">
        <v>531</v>
      </c>
      <c r="I39">
        <v>-0.06</v>
      </c>
      <c r="J39">
        <v>0.59799999999999998</v>
      </c>
      <c r="L39" t="s">
        <v>374</v>
      </c>
      <c r="M39" t="s">
        <v>424</v>
      </c>
      <c r="N39" t="s">
        <v>666</v>
      </c>
      <c r="O39" s="3">
        <v>315</v>
      </c>
      <c r="P39" s="3">
        <v>3.9699999999999999E-2</v>
      </c>
      <c r="Q39" t="s">
        <v>532</v>
      </c>
      <c r="R39" t="s">
        <v>533</v>
      </c>
      <c r="S39" t="s">
        <v>440</v>
      </c>
      <c r="T39" t="s">
        <v>367</v>
      </c>
    </row>
    <row r="40" spans="1:20" x14ac:dyDescent="0.3">
      <c r="A40" t="s">
        <v>406</v>
      </c>
      <c r="B40" t="s">
        <v>517</v>
      </c>
      <c r="C40" t="s">
        <v>174</v>
      </c>
      <c r="D40" t="s">
        <v>407</v>
      </c>
      <c r="E40" t="s">
        <v>399</v>
      </c>
      <c r="F40" t="s">
        <v>183</v>
      </c>
      <c r="G40" t="s">
        <v>294</v>
      </c>
      <c r="H40" s="19" t="s">
        <v>534</v>
      </c>
      <c r="I40">
        <v>-0.24</v>
      </c>
      <c r="J40">
        <v>0.19800000000000001</v>
      </c>
      <c r="L40" t="s">
        <v>374</v>
      </c>
      <c r="M40" t="s">
        <v>424</v>
      </c>
      <c r="N40" t="s">
        <v>666</v>
      </c>
      <c r="O40" s="3">
        <v>315</v>
      </c>
      <c r="P40" s="3">
        <v>4.4499999999999998E-2</v>
      </c>
      <c r="Q40" t="s">
        <v>535</v>
      </c>
      <c r="R40" t="s">
        <v>536</v>
      </c>
      <c r="S40" t="s">
        <v>440</v>
      </c>
      <c r="T40" t="s">
        <v>367</v>
      </c>
    </row>
    <row r="41" spans="1:20" x14ac:dyDescent="0.3">
      <c r="A41" t="s">
        <v>411</v>
      </c>
      <c r="B41" t="s">
        <v>517</v>
      </c>
      <c r="C41" t="s">
        <v>174</v>
      </c>
      <c r="D41" t="s">
        <v>412</v>
      </c>
      <c r="E41" t="s">
        <v>399</v>
      </c>
      <c r="F41" t="s">
        <v>182</v>
      </c>
      <c r="G41" t="s">
        <v>294</v>
      </c>
      <c r="H41" s="19" t="s">
        <v>537</v>
      </c>
      <c r="I41">
        <v>0.08</v>
      </c>
      <c r="J41">
        <v>0.75</v>
      </c>
      <c r="L41" t="s">
        <v>374</v>
      </c>
      <c r="M41" t="s">
        <v>403</v>
      </c>
      <c r="N41" t="s">
        <v>666</v>
      </c>
      <c r="O41" s="3">
        <v>315</v>
      </c>
      <c r="P41" s="3">
        <v>3.95E-2</v>
      </c>
      <c r="Q41" t="s">
        <v>538</v>
      </c>
      <c r="R41" t="s">
        <v>539</v>
      </c>
      <c r="S41" t="s">
        <v>440</v>
      </c>
      <c r="T41" t="s">
        <v>367</v>
      </c>
    </row>
    <row r="42" spans="1:20" x14ac:dyDescent="0.3">
      <c r="A42" t="s">
        <v>418</v>
      </c>
      <c r="B42" t="s">
        <v>517</v>
      </c>
      <c r="C42" t="s">
        <v>174</v>
      </c>
      <c r="D42" t="s">
        <v>419</v>
      </c>
      <c r="E42" t="s">
        <v>420</v>
      </c>
      <c r="F42" t="s">
        <v>421</v>
      </c>
      <c r="G42" t="s">
        <v>422</v>
      </c>
      <c r="H42" s="19" t="s">
        <v>540</v>
      </c>
      <c r="I42">
        <v>0</v>
      </c>
      <c r="J42">
        <v>0.89800000000000002</v>
      </c>
      <c r="L42" t="s">
        <v>374</v>
      </c>
      <c r="M42" t="s">
        <v>375</v>
      </c>
      <c r="N42" t="s">
        <v>666</v>
      </c>
      <c r="O42" s="3">
        <v>125</v>
      </c>
      <c r="P42" s="3">
        <v>0.1198</v>
      </c>
      <c r="Q42" t="s">
        <v>541</v>
      </c>
      <c r="R42" t="s">
        <v>542</v>
      </c>
      <c r="S42" t="s">
        <v>440</v>
      </c>
      <c r="T42" t="s">
        <v>367</v>
      </c>
    </row>
    <row r="43" spans="1:20" x14ac:dyDescent="0.3">
      <c r="A43" t="s">
        <v>427</v>
      </c>
      <c r="B43" t="s">
        <v>517</v>
      </c>
      <c r="C43" t="s">
        <v>174</v>
      </c>
      <c r="D43" t="s">
        <v>428</v>
      </c>
      <c r="E43" t="s">
        <v>420</v>
      </c>
      <c r="F43" t="s">
        <v>429</v>
      </c>
      <c r="G43" t="s">
        <v>422</v>
      </c>
      <c r="H43" s="19" t="s">
        <v>543</v>
      </c>
      <c r="I43">
        <v>-0.03</v>
      </c>
      <c r="J43">
        <v>0.59699999999999998</v>
      </c>
      <c r="L43" t="s">
        <v>374</v>
      </c>
      <c r="M43" t="s">
        <v>424</v>
      </c>
      <c r="N43" t="s">
        <v>666</v>
      </c>
      <c r="O43" s="3">
        <v>129</v>
      </c>
      <c r="P43" s="3">
        <v>0.3377</v>
      </c>
      <c r="Q43" t="s">
        <v>544</v>
      </c>
      <c r="R43" t="s">
        <v>545</v>
      </c>
      <c r="S43" t="s">
        <v>440</v>
      </c>
      <c r="T43" t="s">
        <v>367</v>
      </c>
    </row>
    <row r="44" spans="1:20" x14ac:dyDescent="0.3">
      <c r="A44" t="s">
        <v>433</v>
      </c>
      <c r="B44" t="s">
        <v>517</v>
      </c>
      <c r="C44" t="s">
        <v>174</v>
      </c>
      <c r="D44" t="s">
        <v>434</v>
      </c>
      <c r="E44" t="s">
        <v>420</v>
      </c>
      <c r="F44" t="s">
        <v>435</v>
      </c>
      <c r="G44" t="s">
        <v>422</v>
      </c>
      <c r="H44" s="19" t="s">
        <v>546</v>
      </c>
      <c r="I44">
        <v>-0.01</v>
      </c>
      <c r="J44">
        <v>0.222</v>
      </c>
      <c r="L44" t="s">
        <v>374</v>
      </c>
      <c r="M44" t="s">
        <v>424</v>
      </c>
      <c r="N44" t="s">
        <v>666</v>
      </c>
      <c r="O44" s="3">
        <v>125</v>
      </c>
      <c r="P44" s="3">
        <v>0.12989999999999999</v>
      </c>
      <c r="Q44" t="s">
        <v>547</v>
      </c>
      <c r="R44" t="s">
        <v>548</v>
      </c>
      <c r="S44" t="s">
        <v>440</v>
      </c>
      <c r="T44" t="s">
        <v>367</v>
      </c>
    </row>
    <row r="45" spans="1:20" x14ac:dyDescent="0.3">
      <c r="A45" t="s">
        <v>441</v>
      </c>
      <c r="B45" t="s">
        <v>517</v>
      </c>
      <c r="C45" t="s">
        <v>174</v>
      </c>
      <c r="D45" t="s">
        <v>442</v>
      </c>
      <c r="E45" t="s">
        <v>420</v>
      </c>
      <c r="F45" t="s">
        <v>443</v>
      </c>
      <c r="G45" t="s">
        <v>422</v>
      </c>
      <c r="H45" s="19" t="s">
        <v>549</v>
      </c>
      <c r="I45">
        <v>0.15</v>
      </c>
      <c r="J45">
        <v>0.10199999999999999</v>
      </c>
      <c r="L45" t="s">
        <v>374</v>
      </c>
      <c r="M45" t="s">
        <v>403</v>
      </c>
      <c r="N45" t="s">
        <v>666</v>
      </c>
      <c r="O45" s="3">
        <v>125</v>
      </c>
      <c r="P45" s="3">
        <v>0.16700000000000001</v>
      </c>
      <c r="Q45" t="s">
        <v>550</v>
      </c>
      <c r="R45" t="s">
        <v>551</v>
      </c>
      <c r="S45" t="s">
        <v>440</v>
      </c>
      <c r="T45" t="s">
        <v>367</v>
      </c>
    </row>
    <row r="46" spans="1:20" x14ac:dyDescent="0.3">
      <c r="A46" t="s">
        <v>368</v>
      </c>
      <c r="B46" t="s">
        <v>552</v>
      </c>
      <c r="C46" t="s">
        <v>174</v>
      </c>
      <c r="D46" t="s">
        <v>447</v>
      </c>
      <c r="E46" t="s">
        <v>371</v>
      </c>
      <c r="F46" t="s">
        <v>169</v>
      </c>
      <c r="G46" t="s">
        <v>372</v>
      </c>
      <c r="H46" s="19" t="s">
        <v>553</v>
      </c>
      <c r="I46">
        <v>0</v>
      </c>
      <c r="J46">
        <v>0.84699999999999998</v>
      </c>
      <c r="L46" t="s">
        <v>374</v>
      </c>
      <c r="M46" t="s">
        <v>375</v>
      </c>
      <c r="N46" t="s">
        <v>666</v>
      </c>
      <c r="O46" s="3">
        <v>275</v>
      </c>
      <c r="P46" s="3">
        <v>0.21540000000000001</v>
      </c>
      <c r="Q46" t="s">
        <v>554</v>
      </c>
      <c r="R46" t="s">
        <v>555</v>
      </c>
      <c r="S46" t="s">
        <v>378</v>
      </c>
      <c r="T46" t="s">
        <v>367</v>
      </c>
    </row>
    <row r="47" spans="1:20" x14ac:dyDescent="0.3">
      <c r="A47" t="s">
        <v>379</v>
      </c>
      <c r="B47" t="s">
        <v>552</v>
      </c>
      <c r="C47" t="s">
        <v>174</v>
      </c>
      <c r="D47" t="s">
        <v>380</v>
      </c>
      <c r="E47" t="s">
        <v>371</v>
      </c>
      <c r="F47" t="s">
        <v>381</v>
      </c>
      <c r="G47" t="s">
        <v>372</v>
      </c>
      <c r="H47" s="19" t="s">
        <v>556</v>
      </c>
      <c r="I47">
        <v>0</v>
      </c>
      <c r="J47">
        <v>0.63800000000000001</v>
      </c>
      <c r="L47" t="s">
        <v>374</v>
      </c>
      <c r="M47" t="s">
        <v>375</v>
      </c>
      <c r="N47" t="s">
        <v>666</v>
      </c>
      <c r="O47" s="3">
        <v>275</v>
      </c>
      <c r="P47" s="3">
        <v>0.24629999999999999</v>
      </c>
      <c r="Q47" t="s">
        <v>557</v>
      </c>
      <c r="R47" t="s">
        <v>558</v>
      </c>
      <c r="S47" t="s">
        <v>378</v>
      </c>
      <c r="T47" t="s">
        <v>367</v>
      </c>
    </row>
    <row r="48" spans="1:20" x14ac:dyDescent="0.3">
      <c r="A48" t="s">
        <v>385</v>
      </c>
      <c r="B48" t="s">
        <v>552</v>
      </c>
      <c r="C48" t="s">
        <v>174</v>
      </c>
      <c r="D48" t="s">
        <v>488</v>
      </c>
      <c r="E48" t="s">
        <v>371</v>
      </c>
      <c r="F48" t="s">
        <v>387</v>
      </c>
      <c r="G48" t="s">
        <v>372</v>
      </c>
      <c r="H48" s="19" t="s">
        <v>559</v>
      </c>
      <c r="I48">
        <v>0</v>
      </c>
      <c r="J48">
        <v>0.84399999999999997</v>
      </c>
      <c r="L48" t="s">
        <v>374</v>
      </c>
      <c r="M48" t="s">
        <v>375</v>
      </c>
      <c r="N48" t="s">
        <v>666</v>
      </c>
      <c r="O48" s="3">
        <v>275</v>
      </c>
      <c r="P48" s="3">
        <v>0.2155</v>
      </c>
      <c r="Q48" t="s">
        <v>560</v>
      </c>
      <c r="R48" t="s">
        <v>561</v>
      </c>
      <c r="S48" t="s">
        <v>378</v>
      </c>
      <c r="T48" t="s">
        <v>367</v>
      </c>
    </row>
    <row r="49" spans="1:20" x14ac:dyDescent="0.3">
      <c r="A49" t="s">
        <v>391</v>
      </c>
      <c r="B49" t="s">
        <v>552</v>
      </c>
      <c r="C49" t="s">
        <v>174</v>
      </c>
      <c r="D49" t="s">
        <v>527</v>
      </c>
      <c r="E49" t="s">
        <v>371</v>
      </c>
      <c r="F49" t="s">
        <v>393</v>
      </c>
      <c r="G49" t="s">
        <v>372</v>
      </c>
      <c r="H49" s="19" t="s">
        <v>562</v>
      </c>
      <c r="I49">
        <v>0</v>
      </c>
      <c r="J49">
        <v>0.56000000000000005</v>
      </c>
      <c r="L49" t="s">
        <v>374</v>
      </c>
      <c r="M49" t="s">
        <v>375</v>
      </c>
      <c r="N49" t="s">
        <v>666</v>
      </c>
      <c r="O49" s="3">
        <v>275</v>
      </c>
      <c r="P49" s="3">
        <v>0.2147</v>
      </c>
      <c r="Q49" t="s">
        <v>563</v>
      </c>
      <c r="R49" t="s">
        <v>564</v>
      </c>
      <c r="S49" t="s">
        <v>378</v>
      </c>
      <c r="T49" t="s">
        <v>367</v>
      </c>
    </row>
    <row r="50" spans="1:20" x14ac:dyDescent="0.3">
      <c r="A50" t="s">
        <v>397</v>
      </c>
      <c r="B50" t="s">
        <v>552</v>
      </c>
      <c r="C50" t="s">
        <v>174</v>
      </c>
      <c r="D50" t="s">
        <v>398</v>
      </c>
      <c r="E50" t="s">
        <v>399</v>
      </c>
      <c r="F50" t="s">
        <v>173</v>
      </c>
      <c r="G50" t="s">
        <v>294</v>
      </c>
      <c r="H50" s="19" t="s">
        <v>565</v>
      </c>
      <c r="I50">
        <v>0.32</v>
      </c>
      <c r="J50">
        <v>0.113</v>
      </c>
      <c r="L50" t="s">
        <v>374</v>
      </c>
      <c r="M50" t="s">
        <v>403</v>
      </c>
      <c r="N50" t="s">
        <v>666</v>
      </c>
      <c r="O50" s="3">
        <v>354</v>
      </c>
      <c r="P50" s="3">
        <v>0.18010000000000001</v>
      </c>
      <c r="Q50" t="s">
        <v>566</v>
      </c>
      <c r="R50" t="s">
        <v>567</v>
      </c>
      <c r="S50" t="s">
        <v>440</v>
      </c>
      <c r="T50" t="s">
        <v>367</v>
      </c>
    </row>
    <row r="51" spans="1:20" x14ac:dyDescent="0.3">
      <c r="A51" t="s">
        <v>406</v>
      </c>
      <c r="B51" t="s">
        <v>552</v>
      </c>
      <c r="C51" t="s">
        <v>174</v>
      </c>
      <c r="D51" t="s">
        <v>407</v>
      </c>
      <c r="E51" t="s">
        <v>399</v>
      </c>
      <c r="F51" t="s">
        <v>183</v>
      </c>
      <c r="G51" t="s">
        <v>294</v>
      </c>
      <c r="H51" s="19" t="s">
        <v>568</v>
      </c>
      <c r="I51">
        <v>0.4</v>
      </c>
      <c r="J51">
        <v>0.215</v>
      </c>
      <c r="L51" t="s">
        <v>374</v>
      </c>
      <c r="M51" t="s">
        <v>403</v>
      </c>
      <c r="N51" t="s">
        <v>666</v>
      </c>
      <c r="O51" s="3">
        <v>354</v>
      </c>
      <c r="P51" s="3">
        <v>0.17680000000000001</v>
      </c>
      <c r="Q51" t="s">
        <v>569</v>
      </c>
      <c r="R51" t="s">
        <v>570</v>
      </c>
      <c r="S51" t="s">
        <v>440</v>
      </c>
      <c r="T51" t="s">
        <v>367</v>
      </c>
    </row>
    <row r="52" spans="1:20" x14ac:dyDescent="0.3">
      <c r="A52" t="s">
        <v>411</v>
      </c>
      <c r="B52" t="s">
        <v>552</v>
      </c>
      <c r="C52" t="s">
        <v>174</v>
      </c>
      <c r="D52" t="s">
        <v>412</v>
      </c>
      <c r="E52" t="s">
        <v>399</v>
      </c>
      <c r="F52" t="s">
        <v>182</v>
      </c>
      <c r="G52" t="s">
        <v>294</v>
      </c>
      <c r="H52" s="19" t="s">
        <v>571</v>
      </c>
      <c r="I52">
        <v>0.54</v>
      </c>
      <c r="J52">
        <v>0.18099999999999999</v>
      </c>
      <c r="L52" t="s">
        <v>374</v>
      </c>
      <c r="M52" t="s">
        <v>403</v>
      </c>
      <c r="N52" t="s">
        <v>666</v>
      </c>
      <c r="O52" s="3">
        <v>354</v>
      </c>
      <c r="P52" s="3">
        <v>0.1174</v>
      </c>
      <c r="Q52" t="s">
        <v>572</v>
      </c>
      <c r="R52" t="s">
        <v>573</v>
      </c>
      <c r="S52" t="s">
        <v>440</v>
      </c>
      <c r="T52" t="s">
        <v>367</v>
      </c>
    </row>
    <row r="53" spans="1:20" x14ac:dyDescent="0.3">
      <c r="A53" t="s">
        <v>418</v>
      </c>
      <c r="B53" t="s">
        <v>552</v>
      </c>
      <c r="C53" t="s">
        <v>174</v>
      </c>
      <c r="D53" t="s">
        <v>469</v>
      </c>
      <c r="E53" t="s">
        <v>420</v>
      </c>
      <c r="F53" t="s">
        <v>421</v>
      </c>
      <c r="G53" t="s">
        <v>422</v>
      </c>
      <c r="H53" s="19" t="s">
        <v>574</v>
      </c>
      <c r="I53">
        <v>0</v>
      </c>
      <c r="J53">
        <v>0.89200000000000002</v>
      </c>
      <c r="L53" t="s">
        <v>374</v>
      </c>
      <c r="M53" t="s">
        <v>375</v>
      </c>
      <c r="N53" t="s">
        <v>666</v>
      </c>
      <c r="O53" s="3">
        <v>275</v>
      </c>
      <c r="P53" s="3">
        <v>0.23449999999999999</v>
      </c>
      <c r="Q53" t="s">
        <v>575</v>
      </c>
      <c r="R53" t="s">
        <v>576</v>
      </c>
      <c r="S53" t="s">
        <v>440</v>
      </c>
      <c r="T53" t="s">
        <v>367</v>
      </c>
    </row>
    <row r="54" spans="1:20" x14ac:dyDescent="0.3">
      <c r="A54" t="s">
        <v>427</v>
      </c>
      <c r="B54" t="s">
        <v>552</v>
      </c>
      <c r="C54" t="s">
        <v>174</v>
      </c>
      <c r="D54" t="s">
        <v>577</v>
      </c>
      <c r="E54" t="s">
        <v>420</v>
      </c>
      <c r="F54" t="s">
        <v>429</v>
      </c>
      <c r="G54" t="s">
        <v>422</v>
      </c>
      <c r="H54" s="19" t="s">
        <v>578</v>
      </c>
      <c r="I54">
        <v>0</v>
      </c>
      <c r="J54">
        <v>0.68</v>
      </c>
      <c r="L54" t="s">
        <v>374</v>
      </c>
      <c r="M54" t="s">
        <v>375</v>
      </c>
      <c r="N54" t="s">
        <v>666</v>
      </c>
      <c r="O54" s="3">
        <v>275</v>
      </c>
      <c r="P54" s="3">
        <v>0.23519999999999999</v>
      </c>
      <c r="Q54" t="s">
        <v>579</v>
      </c>
      <c r="R54" t="s">
        <v>580</v>
      </c>
      <c r="S54" t="s">
        <v>378</v>
      </c>
      <c r="T54" t="s">
        <v>367</v>
      </c>
    </row>
    <row r="55" spans="1:20" x14ac:dyDescent="0.3">
      <c r="A55" t="s">
        <v>433</v>
      </c>
      <c r="B55" t="s">
        <v>552</v>
      </c>
      <c r="C55" t="s">
        <v>174</v>
      </c>
      <c r="D55" t="s">
        <v>581</v>
      </c>
      <c r="E55" t="s">
        <v>420</v>
      </c>
      <c r="F55" t="s">
        <v>435</v>
      </c>
      <c r="G55" t="s">
        <v>422</v>
      </c>
      <c r="H55" s="19" t="s">
        <v>582</v>
      </c>
      <c r="I55">
        <v>0</v>
      </c>
      <c r="J55">
        <v>0.74</v>
      </c>
      <c r="L55" t="s">
        <v>374</v>
      </c>
      <c r="M55" t="s">
        <v>375</v>
      </c>
      <c r="N55" t="s">
        <v>666</v>
      </c>
      <c r="O55" s="3">
        <v>275</v>
      </c>
      <c r="P55" s="3">
        <v>0.23469999999999999</v>
      </c>
      <c r="Q55" t="s">
        <v>583</v>
      </c>
      <c r="R55" t="s">
        <v>584</v>
      </c>
      <c r="S55" t="s">
        <v>440</v>
      </c>
      <c r="T55" t="s">
        <v>367</v>
      </c>
    </row>
    <row r="56" spans="1:20" x14ac:dyDescent="0.3">
      <c r="A56" t="s">
        <v>441</v>
      </c>
      <c r="B56" t="s">
        <v>552</v>
      </c>
      <c r="C56" t="s">
        <v>174</v>
      </c>
      <c r="D56" t="s">
        <v>585</v>
      </c>
      <c r="E56" t="s">
        <v>420</v>
      </c>
      <c r="F56" t="s">
        <v>443</v>
      </c>
      <c r="G56" t="s">
        <v>422</v>
      </c>
      <c r="H56" s="19" t="s">
        <v>586</v>
      </c>
      <c r="I56">
        <v>0</v>
      </c>
      <c r="J56">
        <v>0.61899999999999999</v>
      </c>
      <c r="L56" t="s">
        <v>374</v>
      </c>
      <c r="M56" t="s">
        <v>375</v>
      </c>
      <c r="N56" t="s">
        <v>666</v>
      </c>
      <c r="O56" s="3">
        <v>275</v>
      </c>
      <c r="P56" s="3">
        <v>0.23350000000000001</v>
      </c>
      <c r="Q56" t="s">
        <v>587</v>
      </c>
      <c r="R56" t="s">
        <v>588</v>
      </c>
      <c r="S56" t="s">
        <v>440</v>
      </c>
      <c r="T56" t="s">
        <v>367</v>
      </c>
    </row>
    <row r="57" spans="1:20" x14ac:dyDescent="0.3">
      <c r="A57" t="s">
        <v>368</v>
      </c>
      <c r="B57" t="s">
        <v>589</v>
      </c>
      <c r="C57" t="s">
        <v>174</v>
      </c>
      <c r="D57" t="s">
        <v>370</v>
      </c>
      <c r="E57" t="s">
        <v>371</v>
      </c>
      <c r="F57" t="s">
        <v>169</v>
      </c>
      <c r="G57" t="s">
        <v>372</v>
      </c>
      <c r="H57" s="19" t="s">
        <v>590</v>
      </c>
      <c r="I57">
        <v>-0.01</v>
      </c>
      <c r="J57">
        <v>0.245</v>
      </c>
      <c r="L57" t="s">
        <v>374</v>
      </c>
      <c r="M57" t="s">
        <v>424</v>
      </c>
      <c r="N57" t="s">
        <v>666</v>
      </c>
      <c r="O57" s="3">
        <v>111</v>
      </c>
      <c r="P57" s="3">
        <v>1.6999999999999999E-3</v>
      </c>
      <c r="Q57" t="s">
        <v>591</v>
      </c>
      <c r="R57" t="s">
        <v>592</v>
      </c>
      <c r="S57" t="s">
        <v>440</v>
      </c>
      <c r="T57" t="s">
        <v>367</v>
      </c>
    </row>
    <row r="58" spans="1:20" x14ac:dyDescent="0.3">
      <c r="A58" t="s">
        <v>379</v>
      </c>
      <c r="B58" t="s">
        <v>589</v>
      </c>
      <c r="C58" t="s">
        <v>174</v>
      </c>
      <c r="D58" t="s">
        <v>451</v>
      </c>
      <c r="E58" t="s">
        <v>371</v>
      </c>
      <c r="F58" t="s">
        <v>381</v>
      </c>
      <c r="G58" t="s">
        <v>372</v>
      </c>
      <c r="H58" s="19" t="s">
        <v>593</v>
      </c>
      <c r="I58">
        <v>0</v>
      </c>
      <c r="J58">
        <v>0.41899999999999998</v>
      </c>
      <c r="L58" t="s">
        <v>374</v>
      </c>
      <c r="M58" t="s">
        <v>375</v>
      </c>
      <c r="N58" t="s">
        <v>666</v>
      </c>
      <c r="O58" s="3">
        <v>111</v>
      </c>
      <c r="P58" s="3">
        <v>4.7999999999999996E-3</v>
      </c>
      <c r="Q58" t="s">
        <v>594</v>
      </c>
      <c r="R58" t="s">
        <v>595</v>
      </c>
      <c r="S58" t="s">
        <v>440</v>
      </c>
      <c r="T58" t="s">
        <v>367</v>
      </c>
    </row>
    <row r="59" spans="1:20" x14ac:dyDescent="0.3">
      <c r="A59" t="s">
        <v>385</v>
      </c>
      <c r="B59" t="s">
        <v>589</v>
      </c>
      <c r="C59" t="s">
        <v>174</v>
      </c>
      <c r="D59" t="s">
        <v>386</v>
      </c>
      <c r="E59" t="s">
        <v>371</v>
      </c>
      <c r="F59" t="s">
        <v>387</v>
      </c>
      <c r="G59" t="s">
        <v>372</v>
      </c>
      <c r="H59" s="19" t="s">
        <v>596</v>
      </c>
      <c r="I59">
        <v>-0.1</v>
      </c>
      <c r="J59">
        <v>0.183</v>
      </c>
      <c r="L59" t="s">
        <v>374</v>
      </c>
      <c r="M59" t="s">
        <v>424</v>
      </c>
      <c r="N59" t="s">
        <v>666</v>
      </c>
      <c r="O59" s="3">
        <v>111</v>
      </c>
      <c r="P59" s="3">
        <v>1.77E-2</v>
      </c>
      <c r="Q59" t="s">
        <v>597</v>
      </c>
      <c r="R59" t="s">
        <v>598</v>
      </c>
      <c r="S59" t="s">
        <v>440</v>
      </c>
      <c r="T59" t="s">
        <v>367</v>
      </c>
    </row>
    <row r="60" spans="1:20" x14ac:dyDescent="0.3">
      <c r="A60" t="s">
        <v>391</v>
      </c>
      <c r="B60" t="s">
        <v>589</v>
      </c>
      <c r="C60" t="s">
        <v>174</v>
      </c>
      <c r="D60" t="s">
        <v>392</v>
      </c>
      <c r="E60" t="s">
        <v>371</v>
      </c>
      <c r="F60" t="s">
        <v>393</v>
      </c>
      <c r="G60" t="s">
        <v>372</v>
      </c>
      <c r="H60" s="19" t="s">
        <v>599</v>
      </c>
      <c r="I60">
        <v>0</v>
      </c>
      <c r="J60">
        <v>0.751</v>
      </c>
      <c r="L60" t="s">
        <v>374</v>
      </c>
      <c r="M60" t="s">
        <v>375</v>
      </c>
      <c r="N60" t="s">
        <v>666</v>
      </c>
      <c r="O60" s="3">
        <v>111</v>
      </c>
      <c r="P60" s="3">
        <v>5.0599999999999999E-2</v>
      </c>
      <c r="Q60" t="s">
        <v>600</v>
      </c>
      <c r="R60" t="s">
        <v>601</v>
      </c>
      <c r="S60" t="s">
        <v>440</v>
      </c>
      <c r="T60" t="s">
        <v>367</v>
      </c>
    </row>
    <row r="61" spans="1:20" x14ac:dyDescent="0.3">
      <c r="A61" t="s">
        <v>397</v>
      </c>
      <c r="B61" t="s">
        <v>589</v>
      </c>
      <c r="C61" t="s">
        <v>174</v>
      </c>
      <c r="D61" t="s">
        <v>398</v>
      </c>
      <c r="E61" t="s">
        <v>399</v>
      </c>
      <c r="F61" t="s">
        <v>173</v>
      </c>
      <c r="G61" t="s">
        <v>294</v>
      </c>
      <c r="H61" s="19" t="s">
        <v>602</v>
      </c>
      <c r="I61">
        <v>0.28000000000000003</v>
      </c>
      <c r="J61">
        <v>0.121</v>
      </c>
      <c r="L61" t="s">
        <v>374</v>
      </c>
      <c r="M61" t="s">
        <v>403</v>
      </c>
      <c r="N61" t="s">
        <v>666</v>
      </c>
      <c r="O61" s="3">
        <v>172</v>
      </c>
      <c r="P61" s="3">
        <v>2.0999999999999999E-3</v>
      </c>
      <c r="Q61" t="s">
        <v>603</v>
      </c>
      <c r="R61" t="s">
        <v>604</v>
      </c>
      <c r="S61" t="s">
        <v>440</v>
      </c>
      <c r="T61" t="s">
        <v>367</v>
      </c>
    </row>
    <row r="62" spans="1:20" x14ac:dyDescent="0.3">
      <c r="A62" t="s">
        <v>406</v>
      </c>
      <c r="B62" t="s">
        <v>589</v>
      </c>
      <c r="C62" t="s">
        <v>174</v>
      </c>
      <c r="D62" t="s">
        <v>407</v>
      </c>
      <c r="E62" t="s">
        <v>399</v>
      </c>
      <c r="F62" t="s">
        <v>183</v>
      </c>
      <c r="G62" t="s">
        <v>294</v>
      </c>
      <c r="H62" s="19" t="s">
        <v>605</v>
      </c>
      <c r="I62">
        <v>0.09</v>
      </c>
      <c r="J62">
        <v>0.79</v>
      </c>
      <c r="L62" t="s">
        <v>374</v>
      </c>
      <c r="M62" t="s">
        <v>403</v>
      </c>
      <c r="N62" t="s">
        <v>666</v>
      </c>
      <c r="O62" s="3">
        <v>172</v>
      </c>
      <c r="P62" s="3">
        <v>1.8E-3</v>
      </c>
      <c r="Q62" t="s">
        <v>606</v>
      </c>
      <c r="R62" t="s">
        <v>607</v>
      </c>
      <c r="S62" t="s">
        <v>440</v>
      </c>
      <c r="T62" t="s">
        <v>367</v>
      </c>
    </row>
    <row r="63" spans="1:20" x14ac:dyDescent="0.3">
      <c r="A63" t="s">
        <v>411</v>
      </c>
      <c r="B63" t="s">
        <v>589</v>
      </c>
      <c r="C63" t="s">
        <v>174</v>
      </c>
      <c r="D63" t="s">
        <v>412</v>
      </c>
      <c r="E63" t="s">
        <v>399</v>
      </c>
      <c r="F63" t="s">
        <v>182</v>
      </c>
      <c r="G63" t="s">
        <v>294</v>
      </c>
      <c r="H63" s="19" t="s">
        <v>608</v>
      </c>
      <c r="I63">
        <v>-0.28999999999999998</v>
      </c>
      <c r="J63">
        <v>0.24099999999999999</v>
      </c>
      <c r="L63" t="s">
        <v>374</v>
      </c>
      <c r="M63" t="s">
        <v>424</v>
      </c>
      <c r="N63" t="s">
        <v>666</v>
      </c>
      <c r="O63" s="3">
        <v>172</v>
      </c>
      <c r="P63" s="3">
        <v>0</v>
      </c>
      <c r="Q63" t="s">
        <v>609</v>
      </c>
      <c r="R63" t="s">
        <v>610</v>
      </c>
      <c r="S63" t="s">
        <v>440</v>
      </c>
      <c r="T63" t="s">
        <v>367</v>
      </c>
    </row>
    <row r="64" spans="1:20" x14ac:dyDescent="0.3">
      <c r="A64" t="s">
        <v>418</v>
      </c>
      <c r="B64" t="s">
        <v>589</v>
      </c>
      <c r="C64" t="s">
        <v>174</v>
      </c>
      <c r="D64" t="s">
        <v>419</v>
      </c>
      <c r="E64" t="s">
        <v>420</v>
      </c>
      <c r="F64" t="s">
        <v>421</v>
      </c>
      <c r="G64" t="s">
        <v>422</v>
      </c>
      <c r="H64" s="19" t="s">
        <v>611</v>
      </c>
      <c r="I64">
        <v>-0.01</v>
      </c>
      <c r="J64">
        <v>0.26500000000000001</v>
      </c>
      <c r="L64" t="s">
        <v>374</v>
      </c>
      <c r="M64" t="s">
        <v>424</v>
      </c>
      <c r="N64" t="s">
        <v>666</v>
      </c>
      <c r="O64" s="3">
        <v>111</v>
      </c>
      <c r="P64" s="3">
        <v>0.15340000000000001</v>
      </c>
      <c r="Q64" t="s">
        <v>612</v>
      </c>
      <c r="R64" t="s">
        <v>613</v>
      </c>
      <c r="S64" t="s">
        <v>440</v>
      </c>
      <c r="T64" t="s">
        <v>367</v>
      </c>
    </row>
    <row r="65" spans="1:20" x14ac:dyDescent="0.3">
      <c r="A65" t="s">
        <v>427</v>
      </c>
      <c r="B65" t="s">
        <v>589</v>
      </c>
      <c r="C65" t="s">
        <v>174</v>
      </c>
      <c r="D65" t="s">
        <v>428</v>
      </c>
      <c r="E65" t="s">
        <v>420</v>
      </c>
      <c r="F65" t="s">
        <v>429</v>
      </c>
      <c r="G65" t="s">
        <v>422</v>
      </c>
      <c r="H65" s="19" t="s">
        <v>614</v>
      </c>
      <c r="I65">
        <v>-0.01</v>
      </c>
      <c r="J65">
        <v>0.26300000000000001</v>
      </c>
      <c r="L65" t="s">
        <v>374</v>
      </c>
      <c r="M65" t="s">
        <v>424</v>
      </c>
      <c r="N65" t="s">
        <v>666</v>
      </c>
      <c r="O65" s="3">
        <v>111</v>
      </c>
      <c r="P65" s="3">
        <v>0.111</v>
      </c>
      <c r="Q65" t="s">
        <v>594</v>
      </c>
      <c r="R65" t="s">
        <v>615</v>
      </c>
      <c r="S65" t="s">
        <v>440</v>
      </c>
      <c r="T65" t="s">
        <v>367</v>
      </c>
    </row>
    <row r="66" spans="1:20" x14ac:dyDescent="0.3">
      <c r="A66" t="s">
        <v>433</v>
      </c>
      <c r="B66" t="s">
        <v>589</v>
      </c>
      <c r="C66" t="s">
        <v>174</v>
      </c>
      <c r="D66" t="s">
        <v>434</v>
      </c>
      <c r="E66" t="s">
        <v>420</v>
      </c>
      <c r="F66" t="s">
        <v>435</v>
      </c>
      <c r="G66" t="s">
        <v>422</v>
      </c>
      <c r="H66" s="19" t="s">
        <v>616</v>
      </c>
      <c r="I66">
        <v>-0.01</v>
      </c>
      <c r="J66">
        <v>7.9000000000000001E-2</v>
      </c>
      <c r="K66" t="s">
        <v>514</v>
      </c>
      <c r="L66" t="s">
        <v>437</v>
      </c>
      <c r="M66" t="s">
        <v>424</v>
      </c>
      <c r="N66" t="s">
        <v>667</v>
      </c>
      <c r="O66" s="3">
        <v>111</v>
      </c>
      <c r="P66" s="3">
        <v>0.189</v>
      </c>
      <c r="Q66" t="s">
        <v>617</v>
      </c>
      <c r="R66" t="s">
        <v>618</v>
      </c>
      <c r="S66" t="s">
        <v>440</v>
      </c>
      <c r="T66" t="s">
        <v>367</v>
      </c>
    </row>
    <row r="67" spans="1:20" x14ac:dyDescent="0.3">
      <c r="A67" t="s">
        <v>441</v>
      </c>
      <c r="B67" t="s">
        <v>589</v>
      </c>
      <c r="C67" t="s">
        <v>174</v>
      </c>
      <c r="D67" t="s">
        <v>442</v>
      </c>
      <c r="E67" t="s">
        <v>420</v>
      </c>
      <c r="F67" t="s">
        <v>443</v>
      </c>
      <c r="G67" t="s">
        <v>422</v>
      </c>
      <c r="H67" s="19" t="s">
        <v>619</v>
      </c>
      <c r="I67">
        <v>0.01</v>
      </c>
      <c r="J67">
        <v>0.251</v>
      </c>
      <c r="L67" t="s">
        <v>374</v>
      </c>
      <c r="M67" t="s">
        <v>403</v>
      </c>
      <c r="N67" t="s">
        <v>666</v>
      </c>
      <c r="O67" s="3">
        <v>111</v>
      </c>
      <c r="P67" s="3">
        <v>0.1145</v>
      </c>
      <c r="Q67" t="s">
        <v>620</v>
      </c>
      <c r="R67" t="s">
        <v>621</v>
      </c>
      <c r="S67" t="s">
        <v>440</v>
      </c>
      <c r="T67" t="s">
        <v>367</v>
      </c>
    </row>
    <row r="68" spans="1:20" x14ac:dyDescent="0.3">
      <c r="A68" t="s">
        <v>368</v>
      </c>
      <c r="B68" t="s">
        <v>622</v>
      </c>
      <c r="C68" t="s">
        <v>174</v>
      </c>
      <c r="D68" t="s">
        <v>447</v>
      </c>
      <c r="E68" t="s">
        <v>371</v>
      </c>
      <c r="F68" t="s">
        <v>169</v>
      </c>
      <c r="G68" t="s">
        <v>372</v>
      </c>
      <c r="H68" s="19" t="s">
        <v>623</v>
      </c>
      <c r="I68">
        <v>0.01</v>
      </c>
      <c r="J68">
        <v>0.67900000000000005</v>
      </c>
      <c r="L68" t="s">
        <v>374</v>
      </c>
      <c r="M68" t="s">
        <v>403</v>
      </c>
      <c r="N68" t="s">
        <v>666</v>
      </c>
      <c r="O68" s="3">
        <v>164</v>
      </c>
      <c r="P68" s="3">
        <v>0.1835</v>
      </c>
      <c r="Q68" t="s">
        <v>624</v>
      </c>
      <c r="R68" t="s">
        <v>625</v>
      </c>
      <c r="S68" t="s">
        <v>378</v>
      </c>
      <c r="T68" t="s">
        <v>367</v>
      </c>
    </row>
    <row r="69" spans="1:20" x14ac:dyDescent="0.3">
      <c r="A69" t="s">
        <v>379</v>
      </c>
      <c r="B69" t="s">
        <v>622</v>
      </c>
      <c r="C69" t="s">
        <v>174</v>
      </c>
      <c r="D69" t="s">
        <v>380</v>
      </c>
      <c r="E69" t="s">
        <v>371</v>
      </c>
      <c r="F69" t="s">
        <v>381</v>
      </c>
      <c r="G69" t="s">
        <v>372</v>
      </c>
      <c r="H69" s="19" t="s">
        <v>626</v>
      </c>
      <c r="I69">
        <v>0</v>
      </c>
      <c r="J69">
        <v>0.56699999999999995</v>
      </c>
      <c r="L69" t="s">
        <v>374</v>
      </c>
      <c r="M69" t="s">
        <v>375</v>
      </c>
      <c r="N69" t="s">
        <v>666</v>
      </c>
      <c r="O69" s="3">
        <v>164</v>
      </c>
      <c r="P69" s="3">
        <v>0.18099999999999999</v>
      </c>
      <c r="Q69" t="s">
        <v>627</v>
      </c>
      <c r="R69" t="s">
        <v>628</v>
      </c>
      <c r="S69" t="s">
        <v>378</v>
      </c>
      <c r="T69" t="s">
        <v>367</v>
      </c>
    </row>
    <row r="70" spans="1:20" x14ac:dyDescent="0.3">
      <c r="A70" t="s">
        <v>385</v>
      </c>
      <c r="B70" t="s">
        <v>622</v>
      </c>
      <c r="C70" t="s">
        <v>174</v>
      </c>
      <c r="D70" t="s">
        <v>488</v>
      </c>
      <c r="E70" t="s">
        <v>371</v>
      </c>
      <c r="F70" t="s">
        <v>387</v>
      </c>
      <c r="G70" t="s">
        <v>372</v>
      </c>
      <c r="H70" s="19" t="s">
        <v>629</v>
      </c>
      <c r="I70">
        <v>0</v>
      </c>
      <c r="J70">
        <v>0.59</v>
      </c>
      <c r="L70" t="s">
        <v>374</v>
      </c>
      <c r="M70" t="s">
        <v>375</v>
      </c>
      <c r="N70" t="s">
        <v>666</v>
      </c>
      <c r="O70" s="3">
        <v>164</v>
      </c>
      <c r="P70" s="3">
        <v>0.18290000000000001</v>
      </c>
      <c r="Q70" t="s">
        <v>630</v>
      </c>
      <c r="R70" t="s">
        <v>631</v>
      </c>
      <c r="S70" t="s">
        <v>378</v>
      </c>
      <c r="T70" t="s">
        <v>367</v>
      </c>
    </row>
    <row r="71" spans="1:20" x14ac:dyDescent="0.3">
      <c r="A71" t="s">
        <v>391</v>
      </c>
      <c r="B71" t="s">
        <v>622</v>
      </c>
      <c r="C71" t="s">
        <v>174</v>
      </c>
      <c r="D71" t="s">
        <v>527</v>
      </c>
      <c r="E71" t="s">
        <v>371</v>
      </c>
      <c r="F71" t="s">
        <v>393</v>
      </c>
      <c r="G71" t="s">
        <v>372</v>
      </c>
      <c r="H71" s="19" t="s">
        <v>632</v>
      </c>
      <c r="I71">
        <v>0</v>
      </c>
      <c r="J71">
        <v>0.98399999999999999</v>
      </c>
      <c r="L71" t="s">
        <v>374</v>
      </c>
      <c r="M71" t="s">
        <v>375</v>
      </c>
      <c r="N71" t="s">
        <v>666</v>
      </c>
      <c r="O71" s="3">
        <v>164</v>
      </c>
      <c r="P71" s="3">
        <v>0.18490000000000001</v>
      </c>
      <c r="Q71" t="s">
        <v>633</v>
      </c>
      <c r="R71" t="s">
        <v>634</v>
      </c>
      <c r="S71" t="s">
        <v>378</v>
      </c>
      <c r="T71" t="s">
        <v>367</v>
      </c>
    </row>
    <row r="72" spans="1:20" x14ac:dyDescent="0.3">
      <c r="A72" t="s">
        <v>397</v>
      </c>
      <c r="B72" t="s">
        <v>622</v>
      </c>
      <c r="C72" t="s">
        <v>174</v>
      </c>
      <c r="D72" t="s">
        <v>398</v>
      </c>
      <c r="E72" t="s">
        <v>399</v>
      </c>
      <c r="F72" t="s">
        <v>173</v>
      </c>
      <c r="G72" t="s">
        <v>294</v>
      </c>
      <c r="H72" s="19" t="s">
        <v>635</v>
      </c>
      <c r="I72">
        <v>-0.06</v>
      </c>
      <c r="J72">
        <v>0.65300000000000002</v>
      </c>
      <c r="L72" t="s">
        <v>374</v>
      </c>
      <c r="M72" t="s">
        <v>424</v>
      </c>
      <c r="N72" t="s">
        <v>666</v>
      </c>
      <c r="O72" s="3">
        <v>182</v>
      </c>
      <c r="P72" s="3">
        <v>0.1331</v>
      </c>
      <c r="Q72" t="s">
        <v>636</v>
      </c>
      <c r="R72" t="s">
        <v>637</v>
      </c>
      <c r="S72" t="s">
        <v>440</v>
      </c>
      <c r="T72" t="s">
        <v>367</v>
      </c>
    </row>
    <row r="73" spans="1:20" x14ac:dyDescent="0.3">
      <c r="A73" t="s">
        <v>406</v>
      </c>
      <c r="B73" t="s">
        <v>622</v>
      </c>
      <c r="C73" t="s">
        <v>174</v>
      </c>
      <c r="D73" t="s">
        <v>407</v>
      </c>
      <c r="E73" t="s">
        <v>399</v>
      </c>
      <c r="F73" t="s">
        <v>183</v>
      </c>
      <c r="G73" t="s">
        <v>294</v>
      </c>
      <c r="H73" s="19" t="s">
        <v>638</v>
      </c>
      <c r="I73">
        <v>0.23</v>
      </c>
      <c r="J73">
        <v>0.17499999999999999</v>
      </c>
      <c r="L73" t="s">
        <v>374</v>
      </c>
      <c r="M73" t="s">
        <v>403</v>
      </c>
      <c r="N73" t="s">
        <v>666</v>
      </c>
      <c r="O73" s="3">
        <v>182</v>
      </c>
      <c r="P73" s="3">
        <v>0.13350000000000001</v>
      </c>
      <c r="Q73" t="s">
        <v>639</v>
      </c>
      <c r="R73" t="s">
        <v>640</v>
      </c>
      <c r="S73" t="s">
        <v>440</v>
      </c>
      <c r="T73" t="s">
        <v>367</v>
      </c>
    </row>
    <row r="74" spans="1:20" x14ac:dyDescent="0.3">
      <c r="A74" t="s">
        <v>411</v>
      </c>
      <c r="B74" t="s">
        <v>622</v>
      </c>
      <c r="C74" t="s">
        <v>174</v>
      </c>
      <c r="D74" t="s">
        <v>412</v>
      </c>
      <c r="E74" t="s">
        <v>399</v>
      </c>
      <c r="F74" t="s">
        <v>182</v>
      </c>
      <c r="G74" t="s">
        <v>294</v>
      </c>
      <c r="H74" s="19" t="s">
        <v>641</v>
      </c>
      <c r="I74">
        <v>0.24</v>
      </c>
      <c r="J74">
        <v>5.3999999999999999E-2</v>
      </c>
      <c r="K74" t="s">
        <v>514</v>
      </c>
      <c r="L74" t="s">
        <v>437</v>
      </c>
      <c r="M74" t="s">
        <v>403</v>
      </c>
      <c r="N74" t="s">
        <v>668</v>
      </c>
      <c r="O74" s="3">
        <v>182</v>
      </c>
      <c r="P74" s="3">
        <v>0.16209999999999999</v>
      </c>
      <c r="Q74" t="s">
        <v>642</v>
      </c>
      <c r="R74" t="s">
        <v>643</v>
      </c>
      <c r="S74" t="s">
        <v>440</v>
      </c>
      <c r="T74" t="s">
        <v>367</v>
      </c>
    </row>
    <row r="75" spans="1:20" x14ac:dyDescent="0.3">
      <c r="A75" t="s">
        <v>418</v>
      </c>
      <c r="B75" t="s">
        <v>622</v>
      </c>
      <c r="C75" t="s">
        <v>174</v>
      </c>
      <c r="D75" t="s">
        <v>419</v>
      </c>
      <c r="E75" t="s">
        <v>420</v>
      </c>
      <c r="F75" t="s">
        <v>421</v>
      </c>
      <c r="G75" t="s">
        <v>422</v>
      </c>
      <c r="H75" s="19" t="s">
        <v>644</v>
      </c>
      <c r="I75">
        <v>-0.01</v>
      </c>
      <c r="J75">
        <v>0.22800000000000001</v>
      </c>
      <c r="L75" t="s">
        <v>374</v>
      </c>
      <c r="M75" t="s">
        <v>424</v>
      </c>
      <c r="N75" t="s">
        <v>666</v>
      </c>
      <c r="O75" s="3">
        <v>164</v>
      </c>
      <c r="P75" s="3">
        <v>0.19520000000000001</v>
      </c>
      <c r="Q75" t="s">
        <v>645</v>
      </c>
      <c r="R75" t="s">
        <v>646</v>
      </c>
      <c r="S75" t="s">
        <v>440</v>
      </c>
      <c r="T75" t="s">
        <v>367</v>
      </c>
    </row>
    <row r="76" spans="1:20" x14ac:dyDescent="0.3">
      <c r="A76" t="s">
        <v>427</v>
      </c>
      <c r="B76" t="s">
        <v>622</v>
      </c>
      <c r="C76" t="s">
        <v>174</v>
      </c>
      <c r="D76" t="s">
        <v>428</v>
      </c>
      <c r="E76" t="s">
        <v>420</v>
      </c>
      <c r="F76" t="s">
        <v>429</v>
      </c>
      <c r="G76" t="s">
        <v>422</v>
      </c>
      <c r="H76" s="19" t="s">
        <v>647</v>
      </c>
      <c r="I76">
        <v>0</v>
      </c>
      <c r="J76">
        <v>0.51600000000000001</v>
      </c>
      <c r="L76" t="s">
        <v>374</v>
      </c>
      <c r="M76" t="s">
        <v>375</v>
      </c>
      <c r="N76" t="s">
        <v>666</v>
      </c>
      <c r="O76" s="3">
        <v>164</v>
      </c>
      <c r="P76" s="3">
        <v>0.18160000000000001</v>
      </c>
      <c r="Q76" t="s">
        <v>648</v>
      </c>
      <c r="R76" t="s">
        <v>649</v>
      </c>
      <c r="S76" t="s">
        <v>440</v>
      </c>
      <c r="T76" t="s">
        <v>367</v>
      </c>
    </row>
    <row r="77" spans="1:20" x14ac:dyDescent="0.3">
      <c r="A77" t="s">
        <v>433</v>
      </c>
      <c r="B77" t="s">
        <v>622</v>
      </c>
      <c r="C77" t="s">
        <v>174</v>
      </c>
      <c r="D77" t="s">
        <v>434</v>
      </c>
      <c r="E77" t="s">
        <v>420</v>
      </c>
      <c r="F77" t="s">
        <v>435</v>
      </c>
      <c r="G77" t="s">
        <v>422</v>
      </c>
      <c r="H77" s="19" t="s">
        <v>650</v>
      </c>
      <c r="I77">
        <v>0</v>
      </c>
      <c r="J77">
        <v>0.65700000000000003</v>
      </c>
      <c r="L77" t="s">
        <v>374</v>
      </c>
      <c r="M77" t="s">
        <v>375</v>
      </c>
      <c r="N77" t="s">
        <v>666</v>
      </c>
      <c r="O77" s="3">
        <v>164</v>
      </c>
      <c r="P77" s="3">
        <v>0.1847</v>
      </c>
      <c r="Q77" t="s">
        <v>651</v>
      </c>
      <c r="R77" t="s">
        <v>652</v>
      </c>
      <c r="S77" t="s">
        <v>378</v>
      </c>
      <c r="T77" t="s">
        <v>367</v>
      </c>
    </row>
    <row r="78" spans="1:20" x14ac:dyDescent="0.3">
      <c r="A78" t="s">
        <v>441</v>
      </c>
      <c r="B78" t="s">
        <v>622</v>
      </c>
      <c r="C78" t="s">
        <v>174</v>
      </c>
      <c r="D78" t="s">
        <v>442</v>
      </c>
      <c r="E78" t="s">
        <v>420</v>
      </c>
      <c r="F78" t="s">
        <v>443</v>
      </c>
      <c r="G78" t="s">
        <v>422</v>
      </c>
      <c r="H78" s="19" t="s">
        <v>653</v>
      </c>
      <c r="I78">
        <v>-0.01</v>
      </c>
      <c r="J78">
        <v>8.3000000000000004E-2</v>
      </c>
      <c r="K78" t="s">
        <v>514</v>
      </c>
      <c r="L78" t="s">
        <v>437</v>
      </c>
      <c r="M78" t="s">
        <v>424</v>
      </c>
      <c r="N78" t="s">
        <v>667</v>
      </c>
      <c r="O78" s="3">
        <v>164</v>
      </c>
      <c r="P78" s="3">
        <v>0.2112</v>
      </c>
      <c r="Q78" t="s">
        <v>654</v>
      </c>
      <c r="R78" t="s">
        <v>655</v>
      </c>
      <c r="S78" t="s">
        <v>440</v>
      </c>
      <c r="T78" t="s">
        <v>367</v>
      </c>
    </row>
    <row r="79" spans="1:20" x14ac:dyDescent="0.3"/>
  </sheetData>
  <autoFilter ref="A1:V78" xr:uid="{F24C5DFC-FBD6-4607-9AFF-95DDA82034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FirmYear_Data</vt:lpstr>
      <vt:lpstr>Firm_Dimension</vt:lpstr>
      <vt:lpstr>Industry_Dimension</vt:lpstr>
      <vt:lpstr>Year_Dimension</vt:lpstr>
      <vt:lpstr>Variable_Dictionary</vt:lpstr>
      <vt:lpstr>Regression_Results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Darrell Gayok Insor</cp:lastModifiedBy>
  <dcterms:created xsi:type="dcterms:W3CDTF">2015-06-05T18:17:20Z</dcterms:created>
  <dcterms:modified xsi:type="dcterms:W3CDTF">2026-06-25T09:29:15Z</dcterms:modified>
</cp:coreProperties>
</file>